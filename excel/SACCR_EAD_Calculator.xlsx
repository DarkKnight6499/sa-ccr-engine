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Cowork\Portfolio_Projects\SA-CCR_EAD_Calculator\"/>
    </mc:Choice>
  </mc:AlternateContent>
  <xr:revisionPtr revIDLastSave="0" documentId="13_ncr:1_{74832330-CA99-4025-A2E9-C241B432A906}" xr6:coauthVersionLast="47" xr6:coauthVersionMax="47" xr10:uidLastSave="{00000000-0000-0000-0000-000000000000}"/>
  <bookViews>
    <workbookView xWindow="-110" yWindow="-110" windowWidth="25820" windowHeight="15500" tabRatio="500" firstSheet="1" activeTab="5" xr2:uid="{00000000-000D-0000-FFFF-FFFF00000000}"/>
  </bookViews>
  <sheets>
    <sheet name="README" sheetId="1" r:id="rId1"/>
    <sheet name="Supervisory_Params" sheetId="2" r:id="rId2"/>
    <sheet name="Trade_Inputs" sheetId="3" r:id="rId3"/>
    <sheet name="Calc_Engine" sheetId="4" r:id="rId4"/>
    <sheet name="AddOn_Aggregation" sheetId="5" r:id="rId5"/>
    <sheet name="Summary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0" i="5" l="1"/>
  <c r="B124" i="5" s="1"/>
  <c r="B72" i="5"/>
  <c r="B96" i="5" s="1"/>
  <c r="B38" i="5"/>
  <c r="B68" i="5" s="1"/>
  <c r="B4" i="5"/>
  <c r="B34" i="5" s="1"/>
  <c r="M21" i="4"/>
  <c r="H21" i="4"/>
  <c r="G21" i="4"/>
  <c r="F21" i="4"/>
  <c r="L21" i="4" s="1"/>
  <c r="E21" i="4"/>
  <c r="D21" i="4"/>
  <c r="C21" i="4"/>
  <c r="J21" i="4" s="1"/>
  <c r="B21" i="4"/>
  <c r="A21" i="4"/>
  <c r="R20" i="4"/>
  <c r="Q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N19" i="4"/>
  <c r="M19" i="4"/>
  <c r="K19" i="4"/>
  <c r="H19" i="4"/>
  <c r="G19" i="4"/>
  <c r="F19" i="4"/>
  <c r="E19" i="4"/>
  <c r="L19" i="4" s="1"/>
  <c r="D19" i="4"/>
  <c r="C19" i="4"/>
  <c r="Q19" i="4" s="1"/>
  <c r="B19" i="4"/>
  <c r="A19" i="4"/>
  <c r="J18" i="4"/>
  <c r="I18" i="4"/>
  <c r="H18" i="4"/>
  <c r="M18" i="4" s="1"/>
  <c r="G18" i="4"/>
  <c r="F18" i="4"/>
  <c r="K18" i="4" s="1"/>
  <c r="E18" i="4"/>
  <c r="D18" i="4"/>
  <c r="C18" i="4"/>
  <c r="R18" i="4" s="1"/>
  <c r="B18" i="4"/>
  <c r="A18" i="4"/>
  <c r="Q17" i="4"/>
  <c r="M17" i="4"/>
  <c r="H17" i="4"/>
  <c r="G17" i="4"/>
  <c r="F17" i="4"/>
  <c r="L17" i="4" s="1"/>
  <c r="E17" i="4"/>
  <c r="D17" i="4"/>
  <c r="C17" i="4"/>
  <c r="B17" i="4"/>
  <c r="A17" i="4"/>
  <c r="R16" i="4"/>
  <c r="Q16" i="4"/>
  <c r="M16" i="4"/>
  <c r="L16" i="4"/>
  <c r="K16" i="4"/>
  <c r="I16" i="4"/>
  <c r="J16" i="4" s="1"/>
  <c r="H16" i="4"/>
  <c r="G16" i="4"/>
  <c r="F16" i="4"/>
  <c r="E16" i="4"/>
  <c r="D16" i="4"/>
  <c r="C16" i="4"/>
  <c r="B16" i="4"/>
  <c r="A16" i="4"/>
  <c r="N15" i="4"/>
  <c r="M15" i="4"/>
  <c r="K15" i="4"/>
  <c r="H15" i="4"/>
  <c r="G15" i="4"/>
  <c r="F15" i="4"/>
  <c r="E15" i="4"/>
  <c r="L15" i="4" s="1"/>
  <c r="D15" i="4"/>
  <c r="C15" i="4"/>
  <c r="Q15" i="4" s="1"/>
  <c r="B15" i="4"/>
  <c r="A15" i="4"/>
  <c r="J14" i="4"/>
  <c r="I14" i="4"/>
  <c r="H14" i="4"/>
  <c r="M14" i="4" s="1"/>
  <c r="G14" i="4"/>
  <c r="F14" i="4"/>
  <c r="K14" i="4" s="1"/>
  <c r="E14" i="4"/>
  <c r="D14" i="4"/>
  <c r="C14" i="4"/>
  <c r="R14" i="4" s="1"/>
  <c r="B14" i="4"/>
  <c r="A14" i="4"/>
  <c r="R13" i="4"/>
  <c r="Q13" i="4"/>
  <c r="M13" i="4"/>
  <c r="H13" i="4"/>
  <c r="G13" i="4"/>
  <c r="F13" i="4"/>
  <c r="E13" i="4"/>
  <c r="D13" i="4"/>
  <c r="C13" i="4"/>
  <c r="I13" i="4" s="1"/>
  <c r="B13" i="4"/>
  <c r="A13" i="4"/>
  <c r="R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N11" i="4"/>
  <c r="M11" i="4"/>
  <c r="K11" i="4"/>
  <c r="H11" i="4"/>
  <c r="G11" i="4"/>
  <c r="F11" i="4"/>
  <c r="E11" i="4"/>
  <c r="L11" i="4" s="1"/>
  <c r="D11" i="4"/>
  <c r="C11" i="4"/>
  <c r="R11" i="4" s="1"/>
  <c r="B11" i="4"/>
  <c r="A11" i="4"/>
  <c r="I10" i="4"/>
  <c r="J10" i="4" s="1"/>
  <c r="H10" i="4"/>
  <c r="M10" i="4" s="1"/>
  <c r="G10" i="4"/>
  <c r="F10" i="4"/>
  <c r="K10" i="4" s="1"/>
  <c r="E10" i="4"/>
  <c r="D10" i="4"/>
  <c r="C10" i="4"/>
  <c r="R10" i="4" s="1"/>
  <c r="B10" i="4"/>
  <c r="A10" i="4"/>
  <c r="R9" i="4"/>
  <c r="Q9" i="4"/>
  <c r="M9" i="4"/>
  <c r="H9" i="4"/>
  <c r="G9" i="4"/>
  <c r="F9" i="4"/>
  <c r="E9" i="4"/>
  <c r="D9" i="4"/>
  <c r="C9" i="4"/>
  <c r="J9" i="4" s="1"/>
  <c r="B9" i="4"/>
  <c r="A9" i="4"/>
  <c r="R8" i="4"/>
  <c r="Q8" i="4"/>
  <c r="N8" i="4"/>
  <c r="M8" i="4"/>
  <c r="L8" i="4"/>
  <c r="P8" i="4" s="1"/>
  <c r="K8" i="4"/>
  <c r="J8" i="4"/>
  <c r="I8" i="4"/>
  <c r="H8" i="4"/>
  <c r="G8" i="4"/>
  <c r="F8" i="4"/>
  <c r="E8" i="4"/>
  <c r="D8" i="4"/>
  <c r="C8" i="4"/>
  <c r="B8" i="4"/>
  <c r="A8" i="4"/>
  <c r="N7" i="4"/>
  <c r="M7" i="4"/>
  <c r="K7" i="4"/>
  <c r="H7" i="4"/>
  <c r="G7" i="4"/>
  <c r="F7" i="4"/>
  <c r="E7" i="4"/>
  <c r="L7" i="4" s="1"/>
  <c r="D7" i="4"/>
  <c r="C7" i="4"/>
  <c r="Q7" i="4" s="1"/>
  <c r="B7" i="4"/>
  <c r="A7" i="4"/>
  <c r="J6" i="4"/>
  <c r="I6" i="4"/>
  <c r="H6" i="4"/>
  <c r="M6" i="4" s="1"/>
  <c r="G6" i="4"/>
  <c r="F6" i="4"/>
  <c r="K6" i="4" s="1"/>
  <c r="E6" i="4"/>
  <c r="D6" i="4"/>
  <c r="C6" i="4"/>
  <c r="R6" i="4" s="1"/>
  <c r="B6" i="4"/>
  <c r="A6" i="4"/>
  <c r="R5" i="4"/>
  <c r="Q5" i="4"/>
  <c r="M5" i="4"/>
  <c r="H5" i="4"/>
  <c r="G5" i="4"/>
  <c r="F5" i="4"/>
  <c r="L5" i="4" s="1"/>
  <c r="E5" i="4"/>
  <c r="D5" i="4"/>
  <c r="C5" i="4"/>
  <c r="I5" i="4" s="1"/>
  <c r="B5" i="4"/>
  <c r="A5" i="4"/>
  <c r="R4" i="4"/>
  <c r="Q4" i="4"/>
  <c r="N4" i="4"/>
  <c r="M4" i="4"/>
  <c r="L4" i="4"/>
  <c r="K4" i="4"/>
  <c r="I4" i="4"/>
  <c r="J4" i="4" s="1"/>
  <c r="H4" i="4"/>
  <c r="G4" i="4"/>
  <c r="F4" i="4"/>
  <c r="E4" i="4"/>
  <c r="D4" i="4"/>
  <c r="C4" i="4"/>
  <c r="B4" i="4"/>
  <c r="A4" i="4"/>
  <c r="B28" i="2"/>
  <c r="N21" i="4" s="1"/>
  <c r="C13" i="2"/>
  <c r="C12" i="2"/>
  <c r="C11" i="2"/>
  <c r="C10" i="2"/>
  <c r="C9" i="2"/>
  <c r="C8" i="2"/>
  <c r="C7" i="2"/>
  <c r="Q12" i="4" s="1"/>
  <c r="C6" i="2"/>
  <c r="C5" i="2"/>
  <c r="P4" i="4" l="1"/>
  <c r="P21" i="4"/>
  <c r="O21" i="4"/>
  <c r="L13" i="4"/>
  <c r="C4" i="6"/>
  <c r="O7" i="4"/>
  <c r="C5" i="6"/>
  <c r="C6" i="6"/>
  <c r="P20" i="4"/>
  <c r="L9" i="4"/>
  <c r="C7" i="6"/>
  <c r="Q21" i="4"/>
  <c r="R21" i="4"/>
  <c r="N12" i="4"/>
  <c r="P12" i="4" s="1"/>
  <c r="N16" i="4"/>
  <c r="P16" i="4" s="1"/>
  <c r="N20" i="4"/>
  <c r="R17" i="4"/>
  <c r="O4" i="4"/>
  <c r="I7" i="4"/>
  <c r="O8" i="4"/>
  <c r="I11" i="4"/>
  <c r="O12" i="4"/>
  <c r="I15" i="4"/>
  <c r="O16" i="4"/>
  <c r="I19" i="4"/>
  <c r="O20" i="4"/>
  <c r="J7" i="4"/>
  <c r="P7" i="4" s="1"/>
  <c r="J11" i="4"/>
  <c r="O11" i="4" s="1"/>
  <c r="J15" i="4"/>
  <c r="P15" i="4" s="1"/>
  <c r="J19" i="4"/>
  <c r="P19" i="4" s="1"/>
  <c r="Q11" i="4"/>
  <c r="R7" i="4"/>
  <c r="L10" i="4"/>
  <c r="L14" i="4"/>
  <c r="R15" i="4"/>
  <c r="L18" i="4"/>
  <c r="R19" i="4"/>
  <c r="N6" i="4"/>
  <c r="N10" i="4"/>
  <c r="N14" i="4"/>
  <c r="N18" i="4"/>
  <c r="I9" i="4"/>
  <c r="I17" i="4"/>
  <c r="J17" i="4" s="1"/>
  <c r="I21" i="4"/>
  <c r="J5" i="4"/>
  <c r="P5" i="4" s="1"/>
  <c r="J13" i="4"/>
  <c r="L6" i="4"/>
  <c r="K5" i="4"/>
  <c r="Q6" i="4"/>
  <c r="K9" i="4"/>
  <c r="Q10" i="4"/>
  <c r="K13" i="4"/>
  <c r="Q14" i="4"/>
  <c r="K17" i="4"/>
  <c r="Q18" i="4"/>
  <c r="K21" i="4"/>
  <c r="N5" i="4"/>
  <c r="N9" i="4"/>
  <c r="N13" i="4"/>
  <c r="N17" i="4"/>
  <c r="O17" i="4" l="1"/>
  <c r="P17" i="4"/>
  <c r="P10" i="4"/>
  <c r="B59" i="5" s="1"/>
  <c r="O10" i="4"/>
  <c r="B107" i="5" s="1"/>
  <c r="P6" i="4"/>
  <c r="B90" i="5" s="1"/>
  <c r="O6" i="4"/>
  <c r="O15" i="4"/>
  <c r="P14" i="4"/>
  <c r="C45" i="5" s="1"/>
  <c r="O14" i="4"/>
  <c r="B119" i="5" s="1"/>
  <c r="P13" i="4"/>
  <c r="B54" i="5" s="1"/>
  <c r="O13" i="4"/>
  <c r="O5" i="4"/>
  <c r="B29" i="5" s="1"/>
  <c r="P11" i="4"/>
  <c r="C79" i="5" s="1"/>
  <c r="O19" i="4"/>
  <c r="P18" i="4"/>
  <c r="O18" i="4"/>
  <c r="P9" i="4"/>
  <c r="B87" i="5" s="1"/>
  <c r="O9" i="4"/>
  <c r="C107" i="5"/>
  <c r="C12" i="5" l="1"/>
  <c r="D46" i="5"/>
  <c r="B79" i="5"/>
  <c r="B58" i="5"/>
  <c r="B60" i="5" s="1"/>
  <c r="B45" i="5"/>
  <c r="B49" i="5"/>
  <c r="B46" i="5"/>
  <c r="B51" i="5"/>
  <c r="D79" i="5"/>
  <c r="D45" i="5"/>
  <c r="B50" i="5"/>
  <c r="B82" i="5"/>
  <c r="B84" i="5" s="1"/>
  <c r="B15" i="5"/>
  <c r="B25" i="5"/>
  <c r="B20" i="5"/>
  <c r="B21" i="5"/>
  <c r="B16" i="5"/>
  <c r="B111" i="5"/>
  <c r="B28" i="5"/>
  <c r="B30" i="5" s="1"/>
  <c r="B118" i="5"/>
  <c r="B120" i="5" s="1"/>
  <c r="B17" i="5"/>
  <c r="B24" i="5"/>
  <c r="B115" i="5"/>
  <c r="D11" i="5"/>
  <c r="B110" i="5"/>
  <c r="B86" i="5"/>
  <c r="B88" i="5" s="1"/>
  <c r="B91" i="5"/>
  <c r="B92" i="5" s="1"/>
  <c r="B83" i="5"/>
  <c r="B55" i="5"/>
  <c r="B56" i="5" s="1"/>
  <c r="B62" i="5"/>
  <c r="B11" i="5"/>
  <c r="B63" i="5"/>
  <c r="D107" i="5"/>
  <c r="E107" i="5" s="1"/>
  <c r="F107" i="5" s="1"/>
  <c r="B108" i="5" s="1"/>
  <c r="C46" i="5"/>
  <c r="B114" i="5"/>
  <c r="B116" i="5" s="1"/>
  <c r="C11" i="5"/>
  <c r="B12" i="5"/>
  <c r="D12" i="5"/>
  <c r="E46" i="5" l="1"/>
  <c r="F46" i="5" s="1"/>
  <c r="E45" i="5"/>
  <c r="F45" i="5" s="1"/>
  <c r="E11" i="5"/>
  <c r="F11" i="5" s="1"/>
  <c r="E12" i="5"/>
  <c r="F12" i="5" s="1"/>
  <c r="B18" i="5"/>
  <c r="B52" i="5"/>
  <c r="B22" i="5"/>
  <c r="B64" i="5"/>
  <c r="E79" i="5"/>
  <c r="F79" i="5" s="1"/>
  <c r="B80" i="5" s="1"/>
  <c r="B93" i="5" s="1"/>
  <c r="B94" i="5" s="1"/>
  <c r="B95" i="5" s="1"/>
  <c r="B112" i="5"/>
  <c r="B121" i="5" s="1"/>
  <c r="B122" i="5" s="1"/>
  <c r="B123" i="5" s="1"/>
  <c r="B26" i="5"/>
  <c r="D7" i="6" l="1"/>
  <c r="B125" i="5"/>
  <c r="E7" i="6" s="1"/>
  <c r="B13" i="5"/>
  <c r="B31" i="5" s="1"/>
  <c r="B32" i="5" s="1"/>
  <c r="B33" i="5" s="1"/>
  <c r="D6" i="6"/>
  <c r="B97" i="5"/>
  <c r="E6" i="6" s="1"/>
  <c r="B47" i="5"/>
  <c r="B65" i="5" s="1"/>
  <c r="B66" i="5" s="1"/>
  <c r="B67" i="5" s="1"/>
  <c r="D5" i="6" l="1"/>
  <c r="B69" i="5"/>
  <c r="E5" i="6" s="1"/>
  <c r="D4" i="6"/>
  <c r="B35" i="5"/>
  <c r="E4" i="6" s="1"/>
  <c r="E10" i="6"/>
  <c r="E9" i="6" l="1"/>
</calcChain>
</file>

<file path=xl/sharedStrings.xml><?xml version="1.0" encoding="utf-8"?>
<sst xmlns="http://schemas.openxmlformats.org/spreadsheetml/2006/main" count="430" uniqueCount="195">
  <si>
    <t>SA-CCR EAD Calculator - Standardised Approach for Counterparty Credit Risk</t>
  </si>
  <si>
    <t>Source</t>
  </si>
  <si>
    <t>BIS d279, 'Standardised approach for measuring counterparty credit risk exposures', March 2014 (rev. Apr 2014). bis.org/publ/bcbs279.htm</t>
  </si>
  <si>
    <t>Formula</t>
  </si>
  <si>
    <t>EAD = alpha x (RC + PFE), alpha = 1.4</t>
  </si>
  <si>
    <t>RC unmargined = max(V - C, 0)</t>
  </si>
  <si>
    <t>RC margined = max(V - C, TH + MTA - NICA, 0)</t>
  </si>
  <si>
    <t>PFE = Multiplier x AddOn_aggregate</t>
  </si>
  <si>
    <t>Multiplier = min[1, Floor + (1-Floor) x exp((V-C) / (2 x (1-Floor) x AddOn_aggregate))], Floor = 5%</t>
  </si>
  <si>
    <t>AddOn_aggregate = sum of AddOn by asset class (IR, FX, Credit, Equity, Commodity)</t>
  </si>
  <si>
    <t>Trade-level waterfall</t>
  </si>
  <si>
    <t>1. Adjusted notional d: notional x SD for IR/Credit, SD = [exp(-0.05S) - exp(-0.05E)] / 0.05; notional directly for FX/Equity/Commodity</t>
  </si>
  <si>
    <t>2. Supervisory delta: +/-1 linear; Black-Scholes via NORMSDIST(d1) for options</t>
  </si>
  <si>
    <t>3. Maturity factor: unmargined = sqrt(min(M,1)); margined = 1.5 x sqrt(MPOR/1yr), MPOR floor 10 business days</t>
  </si>
  <si>
    <t>4. Effective notional = delta x d x MF</t>
  </si>
  <si>
    <t>5. Aggregation: IR = 3 maturity buckets, cross-bucket correlation (1.4x adjacent, 0.6x buckets 1&amp;3); FX = sum by pair; Credit/Equity/Commodity = sqrt[(sum rho_i SF_i Eff_i)^2 + sum(1-rho_i^2)(SF_i Eff_i)^2]</t>
  </si>
  <si>
    <t>Sheets</t>
  </si>
  <si>
    <t>Supervisory_Params - SF, correlations, alpha, floors (editable)</t>
  </si>
  <si>
    <t>Trade_Inputs - 18-trade sample, two netting sets (editable)</t>
  </si>
  <si>
    <t>Calc_Engine - per-trade waterfall (formulas)</t>
  </si>
  <si>
    <t>AddOn_Aggregation - AddOn build-up, RC, multiplier, PFE, EAD, 4 scenarios (A/B actual vs. opposite margin status)</t>
  </si>
  <si>
    <t>Summary - EAD comparison table</t>
  </si>
  <si>
    <t>Sample portfolio</t>
  </si>
  <si>
    <t>NS-A (CORP-001): unmargined, 12 trades, IR/FX/Credit/Equity/Commodity</t>
  </si>
  <si>
    <t>NS-B (BANK-001): CSA, TH=$0, MTA=$500k, NICA=$300k, 10bd MPOR, 6 trades</t>
  </si>
  <si>
    <t>All notionals, MTMs, CSA terms are illustrative placeholders, not real trade data.</t>
  </si>
  <si>
    <t>Simplifications</t>
  </si>
  <si>
    <t>- All trades start today (S=0); 250-business-day year for MF/MPOR floors</t>
  </si>
  <si>
    <t>- MPOR = standard 10-business-day floor throughout (no 20-day large/illiquid override)</t>
  </si>
  <si>
    <t>- FX notional = given USD leg, no separate FX-rate revaluation</t>
  </si>
  <si>
    <t>- Basis/volatility add-ons and BA-CVA out of scope</t>
  </si>
  <si>
    <t>Supervisory Parameters (BIS d279, Annex 4) - all editable inputs (blue)</t>
  </si>
  <si>
    <t>Supervisory Factors (SF) - Annex 4, Table 2</t>
  </si>
  <si>
    <t>Asset Class</t>
  </si>
  <si>
    <t>Sub-Category</t>
  </si>
  <si>
    <t>Key</t>
  </si>
  <si>
    <t>SF</t>
  </si>
  <si>
    <t>Note</t>
  </si>
  <si>
    <t>IR</t>
  </si>
  <si>
    <t>NA</t>
  </si>
  <si>
    <t>Flat factor, all currencies/tenors</t>
  </si>
  <si>
    <t>FX</t>
  </si>
  <si>
    <t>Flat factor, all currency pairs</t>
  </si>
  <si>
    <t>Credit</t>
  </si>
  <si>
    <t>BBB</t>
  </si>
  <si>
    <t>Single-name, investment grade (BBB)</t>
  </si>
  <si>
    <t>IG_Index</t>
  </si>
  <si>
    <t>Credit index, investment grade</t>
  </si>
  <si>
    <t>SubIG_Index</t>
  </si>
  <si>
    <t>Credit index, sub-investment grade</t>
  </si>
  <si>
    <t>Equity</t>
  </si>
  <si>
    <t>SingleName</t>
  </si>
  <si>
    <t>Single-name equity</t>
  </si>
  <si>
    <t>Index</t>
  </si>
  <si>
    <t>Equity index</t>
  </si>
  <si>
    <t>Commodity</t>
  </si>
  <si>
    <t>Oil_Gas</t>
  </si>
  <si>
    <t>Oil/gas</t>
  </si>
  <si>
    <t>Metal</t>
  </si>
  <si>
    <t>Regulatory Constants &amp; Correlations</t>
  </si>
  <si>
    <t>Parameter</t>
  </si>
  <si>
    <t>Value</t>
  </si>
  <si>
    <t>Alpha (regulatory multiplier)</t>
  </si>
  <si>
    <t>BIS d279 para 121</t>
  </si>
  <si>
    <t>Multiplier floor</t>
  </si>
  <si>
    <t>BIS d279 para 149</t>
  </si>
  <si>
    <t>IR cross-bucket correlation, adjacent buckets (1-2, 2-3)</t>
  </si>
  <si>
    <t>Applied as 2x = 1.40x cross term</t>
  </si>
  <si>
    <t>IR cross-bucket correlation, buckets 1-3</t>
  </si>
  <si>
    <t>Applied as 2x = 0.60x cross term</t>
  </si>
  <si>
    <t>Correlation (rho), single-name credit/equity</t>
  </si>
  <si>
    <t>BIS d279 para 188 (credit), 190 (equity)</t>
  </si>
  <si>
    <t>Correlation (rho), credit/equity index</t>
  </si>
  <si>
    <t>Index constituents are more correlated</t>
  </si>
  <si>
    <t>Correlation (rho), commodity (all types)</t>
  </si>
  <si>
    <t>BIS d279 para 192</t>
  </si>
  <si>
    <t>MPOR floor, standard netting set (business days)</t>
  </si>
  <si>
    <t>BIS d279 para 164; 5d cleared / 20d large-or-illiquid not modeled</t>
  </si>
  <si>
    <t>Unmargined maturity floor (business days)</t>
  </si>
  <si>
    <t>BIS d279 para 159</t>
  </si>
  <si>
    <t>Business days per year</t>
  </si>
  <si>
    <t>Standard convention</t>
  </si>
  <si>
    <t>MF, margined (standard MPOR floor) = 1.5 x sqrt(MPOR/1yr)</t>
  </si>
  <si>
    <t>Trade Inputs - illustrative 18-trade sample portfolio (all cells blue = editable)</t>
  </si>
  <si>
    <t>Trade ID</t>
  </si>
  <si>
    <t>Netting Set</t>
  </si>
  <si>
    <t>Hedging Set</t>
  </si>
  <si>
    <t>Position</t>
  </si>
  <si>
    <t>Style</t>
  </si>
  <si>
    <t>Opt Type</t>
  </si>
  <si>
    <t>Notional (USD)</t>
  </si>
  <si>
    <t>Start S (yrs)</t>
  </si>
  <si>
    <t>Maturity M (yrs)</t>
  </si>
  <si>
    <t>Underlying Price</t>
  </si>
  <si>
    <t>Strike</t>
  </si>
  <si>
    <t>Vol (ann.)</t>
  </si>
  <si>
    <t>MTM (USD)</t>
  </si>
  <si>
    <t>IRS-USD-5Y</t>
  </si>
  <si>
    <t>NS-A</t>
  </si>
  <si>
    <t>USD</t>
  </si>
  <si>
    <t>Long</t>
  </si>
  <si>
    <t>Linear</t>
  </si>
  <si>
    <t>IRS-USD-2Y</t>
  </si>
  <si>
    <t>Short</t>
  </si>
  <si>
    <t>IRS-EUR-7Y</t>
  </si>
  <si>
    <t>EUR</t>
  </si>
  <si>
    <t>FXFWD-EURUSD-1Y</t>
  </si>
  <si>
    <t>EURUSD</t>
  </si>
  <si>
    <t>FXFWD-GBPUSD-6M</t>
  </si>
  <si>
    <t>GBPUSD</t>
  </si>
  <si>
    <t>FXOPT-USDJPY-9M</t>
  </si>
  <si>
    <t>USDJPY</t>
  </si>
  <si>
    <t>Option</t>
  </si>
  <si>
    <t>Call</t>
  </si>
  <si>
    <t>CDS-SN-BBB-3Y</t>
  </si>
  <si>
    <t>Corp_XYZ</t>
  </si>
  <si>
    <t>CDS-IDX-IG-5Y</t>
  </si>
  <si>
    <t>CDX_IG</t>
  </si>
  <si>
    <t>EQSWAP-SN-XYZ-2Y</t>
  </si>
  <si>
    <t>Equity_XYZ</t>
  </si>
  <si>
    <t>EQOPT-IDX-SPX-1Y</t>
  </si>
  <si>
    <t>Equity_SPX</t>
  </si>
  <si>
    <t>Put</t>
  </si>
  <si>
    <t>COMDTY-OIL-1Y</t>
  </si>
  <si>
    <t>COMDTY-GOLD-2Y</t>
  </si>
  <si>
    <t>IRS-USD-10Y</t>
  </si>
  <si>
    <t>NS-B</t>
  </si>
  <si>
    <t>IRS-USD-3Y</t>
  </si>
  <si>
    <t>FXFWD-EURUSD-2Y</t>
  </si>
  <si>
    <t>FXFWD-USDJPY-1Y</t>
  </si>
  <si>
    <t>CDS-IDX-SUBIG-4Y</t>
  </si>
  <si>
    <t>CDX_HY</t>
  </si>
  <si>
    <t>EQSWAP-IDX-SPX-3Y</t>
  </si>
  <si>
    <t>Legend:</t>
  </si>
  <si>
    <t xml:space="preserve">  Blue fill (light blue) = Netting Set A trades (CORP-001, uncollateralised)</t>
  </si>
  <si>
    <t xml:space="preserve">  Orange fill = Netting Set B trades (BANK-001, collateralised under two-way CSA)</t>
  </si>
  <si>
    <t xml:space="preserve">  All values in blue font are editable inputs; nothing on this sheet is a formula.</t>
  </si>
  <si>
    <t>Calc Engine - per-trade SA-CCR waterfall (green = link to Trade_Inputs, black = formula)</t>
  </si>
  <si>
    <t>Sup. Duration SD</t>
  </si>
  <si>
    <t>Adj. Notional d</t>
  </si>
  <si>
    <t>d1 (options)</t>
  </si>
  <si>
    <t>Sup. Delta</t>
  </si>
  <si>
    <t>MF Unmargined</t>
  </si>
  <si>
    <t>MF Margined</t>
  </si>
  <si>
    <t>EffNotional Unmarg.</t>
  </si>
  <si>
    <t>EffNotional Marg.</t>
  </si>
  <si>
    <t>Corr (rho)</t>
  </si>
  <si>
    <t>AddOn Aggregation, RC, PFE &amp; EAD - 4 scenarios (actual vs. hypothetical opposite-margin-status)</t>
  </si>
  <si>
    <t>SCENARIO 1: Netting Set A (CORP-001) - ACTUAL: Unmargined</t>
  </si>
  <si>
    <t>V - net MTM of netting set</t>
  </si>
  <si>
    <t>C - haircut value of net collateral held</t>
  </si>
  <si>
    <t>TH - threshold  (n/a, unmargined)</t>
  </si>
  <si>
    <t>MTA - minimum transfer amount  (n/a, unmargined)</t>
  </si>
  <si>
    <t>NICA - net independent collateral amount</t>
  </si>
  <si>
    <t>IR AddOn (3 maturity buckets, cross-bucket correlation)</t>
  </si>
  <si>
    <t>Currency</t>
  </si>
  <si>
    <t>Bucket1 (&lt;1y)</t>
  </si>
  <si>
    <t>Bucket2 (1-5y)</t>
  </si>
  <si>
    <t>Bucket3 (&gt;5y)</t>
  </si>
  <si>
    <t>Eff. D (HS)</t>
  </si>
  <si>
    <t>AddOn</t>
  </si>
  <si>
    <t xml:space="preserve">  AddOn (IR total, all currencies)</t>
  </si>
  <si>
    <t>FX AddOn (sum by currency pair hedging set)</t>
  </si>
  <si>
    <t xml:space="preserve">  AddOn (EURUSD)</t>
  </si>
  <si>
    <t xml:space="preserve">  AddOn (GBPUSD)</t>
  </si>
  <si>
    <t xml:space="preserve">  AddOn (USDJPY)</t>
  </si>
  <si>
    <t xml:space="preserve">  AddOn (FX total, all pairs)</t>
  </si>
  <si>
    <t xml:space="preserve">  Sum(rho x SF x EffNotional)</t>
  </si>
  <si>
    <t xml:space="preserve">  Sum((1-rho^2) x (SF x EffNotional)^2)</t>
  </si>
  <si>
    <t xml:space="preserve">  AddOn (Credit)</t>
  </si>
  <si>
    <t xml:space="preserve">  AddOn (Equity)</t>
  </si>
  <si>
    <t xml:space="preserve">  AddOn (Commodity)</t>
  </si>
  <si>
    <t>AddOn aggregate (all asset classes)</t>
  </si>
  <si>
    <t>Multiplier</t>
  </si>
  <si>
    <t>PFE</t>
  </si>
  <si>
    <t>RC (Replacement Cost)</t>
  </si>
  <si>
    <t>EAD = alpha x (RC + PFE)</t>
  </si>
  <si>
    <t>SCENARIO 2: Netting Set A (CORP-001) - HYPOTHETICAL: Same trades, if margined</t>
  </si>
  <si>
    <t>TH - threshold</t>
  </si>
  <si>
    <t>MTA - minimum transfer amount</t>
  </si>
  <si>
    <t>SCENARIO 3: Netting Set B (BANK-001) - ACTUAL: Margined</t>
  </si>
  <si>
    <t>SCENARIO 4: Netting Set B (BANK-001) - HYPOTHETICAL: Same trades, if unmargined</t>
  </si>
  <si>
    <t>Summary - EAD Comparison</t>
  </si>
  <si>
    <t>Margin Status</t>
  </si>
  <si>
    <t>RC ($)</t>
  </si>
  <si>
    <t>PFE ($)</t>
  </si>
  <si>
    <t>EAD ($)</t>
  </si>
  <si>
    <t>Netting Set A (CORP-001)</t>
  </si>
  <si>
    <t>Actual - Unmargined</t>
  </si>
  <si>
    <t>Hypothetical - Margined</t>
  </si>
  <si>
    <t>Netting Set B (BANK-001)</t>
  </si>
  <si>
    <t>Actual - Margined</t>
  </si>
  <si>
    <t>Hypothetical - Unmargined</t>
  </si>
  <si>
    <t>Margining impact - Netting Set A</t>
  </si>
  <si>
    <t>Margining impact - Netting Set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</si>
</sst>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0"/>
    <numFmt numFmtId="166" formatCode="\$#,##0;&quot;($&quot;#,##0\);\-"/>
  </numFmts>
  <fonts count="11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i/>
      <sz val="9"/>
      <color rgb="FF80808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8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548235"/>
        <bgColor rgb="FF339966"/>
      </patternFill>
    </fill>
    <fill>
      <patternFill patternType="solid">
        <fgColor rgb="FF30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E2EFDA"/>
      </patternFill>
    </fill>
    <fill>
      <patternFill patternType="solid">
        <fgColor rgb="FFD9D9D9"/>
        <bgColor rgb="FFDDEBF7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3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left" vertical="center" inden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5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2" fillId="0" borderId="1" xfId="0" applyFont="1" applyBorder="1"/>
    <xf numFmtId="10" fontId="6" fillId="0" borderId="1" xfId="0" applyNumberFormat="1" applyFont="1" applyBorder="1"/>
    <xf numFmtId="0" fontId="7" fillId="0" borderId="1" xfId="0" applyFont="1" applyBorder="1"/>
    <xf numFmtId="0" fontId="8" fillId="0" borderId="1" xfId="0" applyFont="1" applyBorder="1"/>
    <xf numFmtId="2" fontId="6" fillId="5" borderId="1" xfId="0" applyNumberFormat="1" applyFont="1" applyFill="1" applyBorder="1"/>
    <xf numFmtId="0" fontId="0" fillId="0" borderId="1" xfId="0" applyBorder="1"/>
    <xf numFmtId="164" fontId="6" fillId="5" borderId="1" xfId="0" applyNumberFormat="1" applyFont="1" applyFill="1" applyBorder="1"/>
    <xf numFmtId="1" fontId="6" fillId="5" borderId="1" xfId="0" applyNumberFormat="1" applyFont="1" applyFill="1" applyBorder="1"/>
    <xf numFmtId="0" fontId="9" fillId="0" borderId="1" xfId="0" applyFont="1" applyBorder="1"/>
    <xf numFmtId="165" fontId="2" fillId="0" borderId="1" xfId="0" applyNumberFormat="1" applyFont="1" applyBorder="1"/>
    <xf numFmtId="0" fontId="6" fillId="6" borderId="1" xfId="0" applyFont="1" applyFill="1" applyBorder="1"/>
    <xf numFmtId="166" fontId="6" fillId="6" borderId="1" xfId="0" applyNumberFormat="1" applyFont="1" applyFill="1" applyBorder="1"/>
    <xf numFmtId="2" fontId="6" fillId="6" borderId="1" xfId="0" applyNumberFormat="1" applyFont="1" applyFill="1" applyBorder="1"/>
    <xf numFmtId="164" fontId="6" fillId="6" borderId="1" xfId="0" applyNumberFormat="1" applyFon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2" fontId="6" fillId="7" borderId="1" xfId="0" applyNumberFormat="1" applyFont="1" applyFill="1" applyBorder="1"/>
    <xf numFmtId="164" fontId="6" fillId="7" borderId="1" xfId="0" applyNumberFormat="1" applyFont="1" applyFill="1" applyBorder="1"/>
    <xf numFmtId="0" fontId="9" fillId="0" borderId="0" xfId="0" applyFont="1"/>
    <xf numFmtId="0" fontId="7" fillId="6" borderId="0" xfId="0" applyFont="1" applyFill="1"/>
    <xf numFmtId="0" fontId="7" fillId="7" borderId="0" xfId="0" applyFont="1" applyFill="1"/>
    <xf numFmtId="0" fontId="7" fillId="0" borderId="0" xfId="0" applyFont="1"/>
    <xf numFmtId="0" fontId="10" fillId="6" borderId="1" xfId="0" applyFont="1" applyFill="1" applyBorder="1"/>
    <xf numFmtId="2" fontId="10" fillId="6" borderId="1" xfId="0" applyNumberFormat="1" applyFont="1" applyFill="1" applyBorder="1"/>
    <xf numFmtId="165" fontId="2" fillId="6" borderId="1" xfId="0" applyNumberFormat="1" applyFont="1" applyFill="1" applyBorder="1"/>
    <xf numFmtId="166" fontId="2" fillId="6" borderId="1" xfId="0" applyNumberFormat="1" applyFont="1" applyFill="1" applyBorder="1"/>
    <xf numFmtId="10" fontId="2" fillId="6" borderId="1" xfId="0" applyNumberFormat="1" applyFont="1" applyFill="1" applyBorder="1"/>
    <xf numFmtId="164" fontId="2" fillId="6" borderId="1" xfId="0" applyNumberFormat="1" applyFont="1" applyFill="1" applyBorder="1"/>
    <xf numFmtId="0" fontId="10" fillId="7" borderId="1" xfId="0" applyFont="1" applyFill="1" applyBorder="1"/>
    <xf numFmtId="2" fontId="10" fillId="7" borderId="1" xfId="0" applyNumberFormat="1" applyFont="1" applyFill="1" applyBorder="1"/>
    <xf numFmtId="165" fontId="2" fillId="7" borderId="1" xfId="0" applyNumberFormat="1" applyFont="1" applyFill="1" applyBorder="1"/>
    <xf numFmtId="166" fontId="2" fillId="7" borderId="1" xfId="0" applyNumberFormat="1" applyFont="1" applyFill="1" applyBorder="1"/>
    <xf numFmtId="10" fontId="2" fillId="7" borderId="1" xfId="0" applyNumberFormat="1" applyFont="1" applyFill="1" applyBorder="1"/>
    <xf numFmtId="164" fontId="2" fillId="7" borderId="1" xfId="0" applyNumberFormat="1" applyFont="1" applyFill="1" applyBorder="1"/>
    <xf numFmtId="166" fontId="9" fillId="0" borderId="1" xfId="0" applyNumberFormat="1" applyFont="1" applyBorder="1"/>
    <xf numFmtId="166" fontId="6" fillId="5" borderId="1" xfId="0" applyNumberFormat="1" applyFont="1" applyFill="1" applyBorder="1"/>
    <xf numFmtId="0" fontId="9" fillId="8" borderId="1" xfId="0" applyFont="1" applyFill="1" applyBorder="1"/>
    <xf numFmtId="0" fontId="0" fillId="8" borderId="0" xfId="0" applyFill="1"/>
    <xf numFmtId="0" fontId="2" fillId="6" borderId="1" xfId="0" applyFont="1" applyFill="1" applyBorder="1"/>
    <xf numFmtId="166" fontId="9" fillId="6" borderId="1" xfId="0" applyNumberFormat="1" applyFont="1" applyFill="1" applyBorder="1"/>
    <xf numFmtId="0" fontId="9" fillId="9" borderId="1" xfId="0" applyFont="1" applyFill="1" applyBorder="1"/>
    <xf numFmtId="166" fontId="9" fillId="9" borderId="1" xfId="0" applyNumberFormat="1" applyFont="1" applyFill="1" applyBorder="1"/>
    <xf numFmtId="166" fontId="2" fillId="0" borderId="1" xfId="0" applyNumberFormat="1" applyFont="1" applyBorder="1"/>
    <xf numFmtId="0" fontId="3" fillId="9" borderId="1" xfId="0" applyFont="1" applyFill="1" applyBorder="1"/>
    <xf numFmtId="166" fontId="3" fillId="9" borderId="1" xfId="0" applyNumberFormat="1" applyFont="1" applyFill="1" applyBorder="1"/>
    <xf numFmtId="0" fontId="2" fillId="7" borderId="1" xfId="0" applyFont="1" applyFill="1" applyBorder="1"/>
    <xf numFmtId="166" fontId="9" fillId="7" borderId="1" xfId="0" applyNumberFormat="1" applyFont="1" applyFill="1" applyBorder="1"/>
    <xf numFmtId="0" fontId="9" fillId="6" borderId="1" xfId="0" applyFont="1" applyFill="1" applyBorder="1"/>
    <xf numFmtId="0" fontId="8" fillId="6" borderId="1" xfId="0" applyFont="1" applyFill="1" applyBorder="1"/>
    <xf numFmtId="166" fontId="3" fillId="6" borderId="1" xfId="0" applyNumberFormat="1" applyFont="1" applyFill="1" applyBorder="1"/>
    <xf numFmtId="0" fontId="9" fillId="7" borderId="1" xfId="0" applyFont="1" applyFill="1" applyBorder="1"/>
    <xf numFmtId="0" fontId="8" fillId="7" borderId="1" xfId="0" applyFont="1" applyFill="1" applyBorder="1"/>
    <xf numFmtId="166" fontId="3" fillId="7" borderId="1" xfId="0" applyNumberFormat="1" applyFont="1" applyFill="1" applyBorder="1"/>
    <xf numFmtId="0" fontId="0" fillId="9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7B7B7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8"/>
  <sheetViews>
    <sheetView showGridLines="0" topLeftCell="A9" zoomScaleNormal="100" workbookViewId="0">
      <selection activeCell="B4" sqref="B4"/>
    </sheetView>
  </sheetViews>
  <sheetFormatPr defaultColWidth="8.6328125" defaultRowHeight="14.5" x14ac:dyDescent="0.35"/>
  <cols>
    <col min="1" max="1" width="3" customWidth="1"/>
    <col min="2" max="2" width="118" customWidth="1"/>
    <col min="3" max="3" width="3" customWidth="1"/>
  </cols>
  <sheetData>
    <row r="1" spans="1:3" ht="27.75" customHeight="1" x14ac:dyDescent="0.35">
      <c r="A1" s="3" t="s">
        <v>0</v>
      </c>
      <c r="B1" s="3"/>
      <c r="C1" s="3"/>
    </row>
    <row r="2" spans="1:3" x14ac:dyDescent="0.35">
      <c r="A2" s="4"/>
      <c r="B2" s="5"/>
      <c r="C2" s="4"/>
    </row>
    <row r="3" spans="1:3" x14ac:dyDescent="0.35">
      <c r="A3" s="4"/>
      <c r="B3" s="6" t="s">
        <v>1</v>
      </c>
      <c r="C3" s="4"/>
    </row>
    <row r="4" spans="1:3" x14ac:dyDescent="0.35">
      <c r="A4" s="4"/>
      <c r="B4" s="5" t="s">
        <v>2</v>
      </c>
      <c r="C4" s="4"/>
    </row>
    <row r="5" spans="1:3" x14ac:dyDescent="0.35">
      <c r="A5" s="4"/>
      <c r="B5" s="4"/>
      <c r="C5" s="4"/>
    </row>
    <row r="6" spans="1:3" x14ac:dyDescent="0.35">
      <c r="A6" s="4"/>
      <c r="B6" s="6" t="s">
        <v>3</v>
      </c>
      <c r="C6" s="4"/>
    </row>
    <row r="7" spans="1:3" x14ac:dyDescent="0.35">
      <c r="A7" s="4"/>
      <c r="B7" s="5" t="s">
        <v>4</v>
      </c>
      <c r="C7" s="4"/>
    </row>
    <row r="8" spans="1:3" x14ac:dyDescent="0.35">
      <c r="A8" s="4"/>
      <c r="B8" s="5" t="s">
        <v>5</v>
      </c>
      <c r="C8" s="4"/>
    </row>
    <row r="9" spans="1:3" x14ac:dyDescent="0.35">
      <c r="A9" s="4"/>
      <c r="B9" s="5" t="s">
        <v>6</v>
      </c>
      <c r="C9" s="4"/>
    </row>
    <row r="10" spans="1:3" x14ac:dyDescent="0.35">
      <c r="A10" s="4"/>
      <c r="B10" s="5" t="s">
        <v>7</v>
      </c>
      <c r="C10" s="4"/>
    </row>
    <row r="11" spans="1:3" x14ac:dyDescent="0.35">
      <c r="A11" s="4"/>
      <c r="B11" s="5" t="s">
        <v>8</v>
      </c>
      <c r="C11" s="4"/>
    </row>
    <row r="12" spans="1:3" x14ac:dyDescent="0.35">
      <c r="A12" s="4"/>
      <c r="B12" s="5" t="s">
        <v>9</v>
      </c>
      <c r="C12" s="4"/>
    </row>
    <row r="13" spans="1:3" x14ac:dyDescent="0.35">
      <c r="A13" s="4"/>
      <c r="B13" s="4"/>
      <c r="C13" s="4"/>
    </row>
    <row r="14" spans="1:3" x14ac:dyDescent="0.35">
      <c r="A14" s="4"/>
      <c r="B14" s="6" t="s">
        <v>10</v>
      </c>
      <c r="C14" s="4"/>
    </row>
    <row r="15" spans="1:3" x14ac:dyDescent="0.35">
      <c r="A15" s="4"/>
      <c r="B15" s="5" t="s">
        <v>11</v>
      </c>
      <c r="C15" s="4"/>
    </row>
    <row r="16" spans="1:3" x14ac:dyDescent="0.35">
      <c r="A16" s="4"/>
      <c r="B16" s="5" t="s">
        <v>12</v>
      </c>
      <c r="C16" s="4"/>
    </row>
    <row r="17" spans="1:3" x14ac:dyDescent="0.35">
      <c r="A17" s="4"/>
      <c r="B17" s="5" t="s">
        <v>13</v>
      </c>
      <c r="C17" s="4"/>
    </row>
    <row r="18" spans="1:3" x14ac:dyDescent="0.35">
      <c r="A18" s="4"/>
      <c r="B18" s="5" t="s">
        <v>14</v>
      </c>
      <c r="C18" s="4"/>
    </row>
    <row r="19" spans="1:3" ht="25" x14ac:dyDescent="0.35">
      <c r="A19" s="4"/>
      <c r="B19" s="5" t="s">
        <v>15</v>
      </c>
      <c r="C19" s="4"/>
    </row>
    <row r="20" spans="1:3" x14ac:dyDescent="0.35">
      <c r="A20" s="4"/>
      <c r="B20" s="4"/>
      <c r="C20" s="4"/>
    </row>
    <row r="21" spans="1:3" x14ac:dyDescent="0.35">
      <c r="A21" s="4"/>
      <c r="B21" s="6" t="s">
        <v>16</v>
      </c>
      <c r="C21" s="4"/>
    </row>
    <row r="22" spans="1:3" x14ac:dyDescent="0.35">
      <c r="A22" s="4"/>
      <c r="B22" s="5" t="s">
        <v>17</v>
      </c>
      <c r="C22" s="4"/>
    </row>
    <row r="23" spans="1:3" x14ac:dyDescent="0.35">
      <c r="A23" s="4"/>
      <c r="B23" s="5" t="s">
        <v>18</v>
      </c>
      <c r="C23" s="4"/>
    </row>
    <row r="24" spans="1:3" x14ac:dyDescent="0.35">
      <c r="A24" s="4"/>
      <c r="B24" s="5" t="s">
        <v>19</v>
      </c>
      <c r="C24" s="4"/>
    </row>
    <row r="25" spans="1:3" x14ac:dyDescent="0.35">
      <c r="A25" s="4"/>
      <c r="B25" s="5" t="s">
        <v>20</v>
      </c>
      <c r="C25" s="4"/>
    </row>
    <row r="26" spans="1:3" x14ac:dyDescent="0.35">
      <c r="A26" s="4"/>
      <c r="B26" s="5" t="s">
        <v>21</v>
      </c>
      <c r="C26" s="4"/>
    </row>
    <row r="27" spans="1:3" x14ac:dyDescent="0.35">
      <c r="A27" s="4"/>
      <c r="B27" s="4"/>
      <c r="C27" s="4"/>
    </row>
    <row r="28" spans="1:3" x14ac:dyDescent="0.35">
      <c r="A28" s="4"/>
      <c r="B28" s="6" t="s">
        <v>22</v>
      </c>
      <c r="C28" s="4"/>
    </row>
    <row r="29" spans="1:3" x14ac:dyDescent="0.35">
      <c r="A29" s="4"/>
      <c r="B29" s="5" t="s">
        <v>23</v>
      </c>
      <c r="C29" s="4"/>
    </row>
    <row r="30" spans="1:3" x14ac:dyDescent="0.35">
      <c r="A30" s="4"/>
      <c r="B30" s="5" t="s">
        <v>24</v>
      </c>
      <c r="C30" s="4"/>
    </row>
    <row r="31" spans="1:3" x14ac:dyDescent="0.35">
      <c r="A31" s="4"/>
      <c r="B31" s="5" t="s">
        <v>25</v>
      </c>
      <c r="C31" s="4"/>
    </row>
    <row r="32" spans="1:3" x14ac:dyDescent="0.35">
      <c r="A32" s="4"/>
      <c r="B32" s="4"/>
      <c r="C32" s="4"/>
    </row>
    <row r="33" spans="1:3" x14ac:dyDescent="0.35">
      <c r="A33" s="4"/>
      <c r="B33" s="6" t="s">
        <v>26</v>
      </c>
      <c r="C33" s="4"/>
    </row>
    <row r="34" spans="1:3" x14ac:dyDescent="0.35">
      <c r="A34" s="4"/>
      <c r="B34" s="5" t="s">
        <v>27</v>
      </c>
      <c r="C34" s="4"/>
    </row>
    <row r="35" spans="1:3" x14ac:dyDescent="0.35">
      <c r="A35" s="4"/>
      <c r="B35" s="5" t="s">
        <v>28</v>
      </c>
      <c r="C35" s="4"/>
    </row>
    <row r="36" spans="1:3" x14ac:dyDescent="0.35">
      <c r="A36" s="4"/>
      <c r="B36" s="5" t="s">
        <v>29</v>
      </c>
      <c r="C36" s="4"/>
    </row>
    <row r="37" spans="1:3" x14ac:dyDescent="0.35">
      <c r="A37" s="4"/>
      <c r="B37" s="5" t="s">
        <v>30</v>
      </c>
      <c r="C37" s="4"/>
    </row>
    <row r="38" spans="1:3" x14ac:dyDescent="0.35">
      <c r="A38" s="4"/>
      <c r="B38" s="4"/>
      <c r="C38" s="4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8"/>
  <sheetViews>
    <sheetView showGridLines="0" zoomScaleNormal="100" workbookViewId="0">
      <selection sqref="A1:E1"/>
    </sheetView>
  </sheetViews>
  <sheetFormatPr defaultColWidth="8.6328125" defaultRowHeight="14.5" x14ac:dyDescent="0.35"/>
  <cols>
    <col min="1" max="2" width="16" customWidth="1"/>
    <col min="3" max="3" width="20" customWidth="1"/>
    <col min="4" max="4" width="12" customWidth="1"/>
    <col min="5" max="5" width="55" customWidth="1"/>
  </cols>
  <sheetData>
    <row r="1" spans="1:5" ht="21.75" customHeight="1" x14ac:dyDescent="0.4">
      <c r="A1" s="2" t="s">
        <v>31</v>
      </c>
      <c r="B1" s="2"/>
      <c r="C1" s="2"/>
      <c r="D1" s="2"/>
      <c r="E1" s="2"/>
    </row>
    <row r="3" spans="1:5" x14ac:dyDescent="0.35">
      <c r="A3" s="1" t="s">
        <v>32</v>
      </c>
      <c r="B3" s="1"/>
      <c r="C3" s="1"/>
      <c r="D3" s="1"/>
      <c r="E3" s="1"/>
    </row>
    <row r="4" spans="1:5" x14ac:dyDescent="0.35">
      <c r="A4" s="7" t="s">
        <v>33</v>
      </c>
      <c r="B4" s="7" t="s">
        <v>34</v>
      </c>
      <c r="C4" s="7" t="s">
        <v>35</v>
      </c>
      <c r="D4" s="7" t="s">
        <v>36</v>
      </c>
      <c r="E4" s="7" t="s">
        <v>37</v>
      </c>
    </row>
    <row r="5" spans="1:5" x14ac:dyDescent="0.35">
      <c r="A5" s="8" t="s">
        <v>38</v>
      </c>
      <c r="B5" s="8" t="s">
        <v>39</v>
      </c>
      <c r="C5" s="9" t="str">
        <f t="shared" ref="C5:C13" si="0">A5&amp;"|"&amp;B5</f>
        <v>IR|NA</v>
      </c>
      <c r="D5" s="10">
        <v>5.0000000000000001E-3</v>
      </c>
      <c r="E5" s="11" t="s">
        <v>40</v>
      </c>
    </row>
    <row r="6" spans="1:5" x14ac:dyDescent="0.35">
      <c r="A6" s="8" t="s">
        <v>41</v>
      </c>
      <c r="B6" s="8" t="s">
        <v>39</v>
      </c>
      <c r="C6" s="9" t="str">
        <f t="shared" si="0"/>
        <v>FX|NA</v>
      </c>
      <c r="D6" s="10">
        <v>0.04</v>
      </c>
      <c r="E6" s="11" t="s">
        <v>42</v>
      </c>
    </row>
    <row r="7" spans="1:5" x14ac:dyDescent="0.35">
      <c r="A7" s="8" t="s">
        <v>43</v>
      </c>
      <c r="B7" s="8" t="s">
        <v>44</v>
      </c>
      <c r="C7" s="9" t="str">
        <f t="shared" si="0"/>
        <v>Credit|BBB</v>
      </c>
      <c r="D7" s="10">
        <v>5.4000000000000003E-3</v>
      </c>
      <c r="E7" s="11" t="s">
        <v>45</v>
      </c>
    </row>
    <row r="8" spans="1:5" x14ac:dyDescent="0.35">
      <c r="A8" s="8" t="s">
        <v>43</v>
      </c>
      <c r="B8" s="8" t="s">
        <v>46</v>
      </c>
      <c r="C8" s="9" t="str">
        <f t="shared" si="0"/>
        <v>Credit|IG_Index</v>
      </c>
      <c r="D8" s="10">
        <v>3.8E-3</v>
      </c>
      <c r="E8" s="11" t="s">
        <v>47</v>
      </c>
    </row>
    <row r="9" spans="1:5" x14ac:dyDescent="0.35">
      <c r="A9" s="8" t="s">
        <v>43</v>
      </c>
      <c r="B9" s="8" t="s">
        <v>48</v>
      </c>
      <c r="C9" s="9" t="str">
        <f t="shared" si="0"/>
        <v>Credit|SubIG_Index</v>
      </c>
      <c r="D9" s="10">
        <v>1.06E-2</v>
      </c>
      <c r="E9" s="11" t="s">
        <v>49</v>
      </c>
    </row>
    <row r="10" spans="1:5" x14ac:dyDescent="0.35">
      <c r="A10" s="8" t="s">
        <v>50</v>
      </c>
      <c r="B10" s="8" t="s">
        <v>51</v>
      </c>
      <c r="C10" s="9" t="str">
        <f t="shared" si="0"/>
        <v>Equity|SingleName</v>
      </c>
      <c r="D10" s="10">
        <v>0.32</v>
      </c>
      <c r="E10" s="11" t="s">
        <v>52</v>
      </c>
    </row>
    <row r="11" spans="1:5" x14ac:dyDescent="0.35">
      <c r="A11" s="8" t="s">
        <v>50</v>
      </c>
      <c r="B11" s="8" t="s">
        <v>53</v>
      </c>
      <c r="C11" s="9" t="str">
        <f t="shared" si="0"/>
        <v>Equity|Index</v>
      </c>
      <c r="D11" s="10">
        <v>0.2</v>
      </c>
      <c r="E11" s="11" t="s">
        <v>54</v>
      </c>
    </row>
    <row r="12" spans="1:5" x14ac:dyDescent="0.35">
      <c r="A12" s="8" t="s">
        <v>55</v>
      </c>
      <c r="B12" s="8" t="s">
        <v>56</v>
      </c>
      <c r="C12" s="9" t="str">
        <f t="shared" si="0"/>
        <v>Commodity|Oil_Gas</v>
      </c>
      <c r="D12" s="10">
        <v>0.18</v>
      </c>
      <c r="E12" s="11" t="s">
        <v>57</v>
      </c>
    </row>
    <row r="13" spans="1:5" x14ac:dyDescent="0.35">
      <c r="A13" s="8" t="s">
        <v>55</v>
      </c>
      <c r="B13" s="8" t="s">
        <v>58</v>
      </c>
      <c r="C13" s="9" t="str">
        <f t="shared" si="0"/>
        <v>Commodity|Metal</v>
      </c>
      <c r="D13" s="10">
        <v>0.18</v>
      </c>
      <c r="E13" s="11" t="s">
        <v>58</v>
      </c>
    </row>
    <row r="15" spans="1:5" x14ac:dyDescent="0.35">
      <c r="A15" s="1" t="s">
        <v>59</v>
      </c>
      <c r="B15" s="1"/>
      <c r="C15" s="1"/>
      <c r="D15" s="1"/>
      <c r="E15" s="1"/>
    </row>
    <row r="16" spans="1:5" x14ac:dyDescent="0.35">
      <c r="A16" s="7" t="s">
        <v>60</v>
      </c>
      <c r="B16" s="7" t="s">
        <v>61</v>
      </c>
      <c r="C16" s="7"/>
      <c r="D16" s="7"/>
      <c r="E16" s="7" t="s">
        <v>37</v>
      </c>
    </row>
    <row r="17" spans="1:5" x14ac:dyDescent="0.35">
      <c r="A17" s="12" t="s">
        <v>62</v>
      </c>
      <c r="B17" s="13">
        <v>1.4</v>
      </c>
      <c r="C17" s="14"/>
      <c r="D17" s="14"/>
      <c r="E17" s="11" t="s">
        <v>63</v>
      </c>
    </row>
    <row r="18" spans="1:5" x14ac:dyDescent="0.35">
      <c r="A18" s="12" t="s">
        <v>64</v>
      </c>
      <c r="B18" s="15">
        <v>0.05</v>
      </c>
      <c r="C18" s="14"/>
      <c r="D18" s="14"/>
      <c r="E18" s="11" t="s">
        <v>65</v>
      </c>
    </row>
    <row r="19" spans="1:5" x14ac:dyDescent="0.35">
      <c r="A19" s="12" t="s">
        <v>66</v>
      </c>
      <c r="B19" s="15">
        <v>0.7</v>
      </c>
      <c r="C19" s="14"/>
      <c r="D19" s="14"/>
      <c r="E19" s="11" t="s">
        <v>67</v>
      </c>
    </row>
    <row r="20" spans="1:5" x14ac:dyDescent="0.35">
      <c r="A20" s="12" t="s">
        <v>68</v>
      </c>
      <c r="B20" s="15">
        <v>0.3</v>
      </c>
      <c r="C20" s="14"/>
      <c r="D20" s="14"/>
      <c r="E20" s="11" t="s">
        <v>69</v>
      </c>
    </row>
    <row r="21" spans="1:5" x14ac:dyDescent="0.35">
      <c r="A21" s="12" t="s">
        <v>70</v>
      </c>
      <c r="B21" s="15">
        <v>0.5</v>
      </c>
      <c r="C21" s="14"/>
      <c r="D21" s="14"/>
      <c r="E21" s="11" t="s">
        <v>71</v>
      </c>
    </row>
    <row r="22" spans="1:5" x14ac:dyDescent="0.35">
      <c r="A22" s="12" t="s">
        <v>72</v>
      </c>
      <c r="B22" s="15">
        <v>0.8</v>
      </c>
      <c r="C22" s="14"/>
      <c r="D22" s="14"/>
      <c r="E22" s="11" t="s">
        <v>73</v>
      </c>
    </row>
    <row r="23" spans="1:5" x14ac:dyDescent="0.35">
      <c r="A23" s="12" t="s">
        <v>74</v>
      </c>
      <c r="B23" s="15">
        <v>0.4</v>
      </c>
      <c r="C23" s="14"/>
      <c r="D23" s="14"/>
      <c r="E23" s="11" t="s">
        <v>75</v>
      </c>
    </row>
    <row r="24" spans="1:5" x14ac:dyDescent="0.35">
      <c r="A24" s="12" t="s">
        <v>76</v>
      </c>
      <c r="B24" s="16">
        <v>10</v>
      </c>
      <c r="C24" s="14"/>
      <c r="D24" s="14"/>
      <c r="E24" s="11" t="s">
        <v>77</v>
      </c>
    </row>
    <row r="25" spans="1:5" x14ac:dyDescent="0.35">
      <c r="A25" s="12" t="s">
        <v>78</v>
      </c>
      <c r="B25" s="16">
        <v>10</v>
      </c>
      <c r="C25" s="14"/>
      <c r="D25" s="14"/>
      <c r="E25" s="11" t="s">
        <v>79</v>
      </c>
    </row>
    <row r="26" spans="1:5" x14ac:dyDescent="0.35">
      <c r="A26" s="12" t="s">
        <v>80</v>
      </c>
      <c r="B26" s="16">
        <v>250</v>
      </c>
      <c r="C26" s="14"/>
      <c r="D26" s="14"/>
      <c r="E26" s="11" t="s">
        <v>81</v>
      </c>
    </row>
    <row r="28" spans="1:5" x14ac:dyDescent="0.35">
      <c r="A28" s="17" t="s">
        <v>82</v>
      </c>
      <c r="B28" s="18">
        <f>1.5*SQRT(Supervisory_Params!$B$24/Supervisory_Params!$B$26)</f>
        <v>0.30000000000000004</v>
      </c>
      <c r="C28" s="14"/>
      <c r="D28" s="14"/>
      <c r="E28" s="14"/>
    </row>
  </sheetData>
  <mergeCells count="3">
    <mergeCell ref="A1:E1"/>
    <mergeCell ref="A3:E3"/>
    <mergeCell ref="A15:E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6"/>
  <sheetViews>
    <sheetView showGridLines="0" zoomScaleNormal="100" workbookViewId="0">
      <pane ySplit="3" topLeftCell="A4" activePane="bottomLeft" state="frozen"/>
      <selection pane="bottomLeft" sqref="A1:O1"/>
    </sheetView>
  </sheetViews>
  <sheetFormatPr defaultColWidth="8.6328125" defaultRowHeight="14.5" x14ac:dyDescent="0.35"/>
  <cols>
    <col min="1" max="1" width="18" customWidth="1"/>
    <col min="2" max="3" width="11" customWidth="1"/>
    <col min="4" max="4" width="12" customWidth="1"/>
    <col min="5" max="6" width="9" customWidth="1"/>
    <col min="7" max="7" width="8" customWidth="1"/>
    <col min="8" max="8" width="14" customWidth="1"/>
    <col min="9" max="10" width="7" customWidth="1"/>
    <col min="11" max="11" width="11" customWidth="1"/>
    <col min="12" max="12" width="10" customWidth="1"/>
    <col min="13" max="13" width="8" customWidth="1"/>
    <col min="14" max="14" width="12" customWidth="1"/>
    <col min="15" max="15" width="13" customWidth="1"/>
  </cols>
  <sheetData>
    <row r="1" spans="1:15" ht="21.75" customHeight="1" x14ac:dyDescent="0.4">
      <c r="A1" s="2" t="s">
        <v>83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spans="1:15" ht="39" x14ac:dyDescent="0.35">
      <c r="A3" s="7" t="s">
        <v>84</v>
      </c>
      <c r="B3" s="7" t="s">
        <v>85</v>
      </c>
      <c r="C3" s="7" t="s">
        <v>33</v>
      </c>
      <c r="D3" s="7" t="s">
        <v>86</v>
      </c>
      <c r="E3" s="7" t="s">
        <v>87</v>
      </c>
      <c r="F3" s="7" t="s">
        <v>88</v>
      </c>
      <c r="G3" s="7" t="s">
        <v>89</v>
      </c>
      <c r="H3" s="7" t="s">
        <v>90</v>
      </c>
      <c r="I3" s="7" t="s">
        <v>91</v>
      </c>
      <c r="J3" s="7" t="s">
        <v>92</v>
      </c>
      <c r="K3" s="7" t="s">
        <v>93</v>
      </c>
      <c r="L3" s="7" t="s">
        <v>94</v>
      </c>
      <c r="M3" s="7" t="s">
        <v>95</v>
      </c>
      <c r="N3" s="7" t="s">
        <v>96</v>
      </c>
      <c r="O3" s="7" t="s">
        <v>34</v>
      </c>
    </row>
    <row r="4" spans="1:15" x14ac:dyDescent="0.35">
      <c r="A4" s="19" t="s">
        <v>97</v>
      </c>
      <c r="B4" s="19" t="s">
        <v>98</v>
      </c>
      <c r="C4" s="19" t="s">
        <v>38</v>
      </c>
      <c r="D4" s="19" t="s">
        <v>99</v>
      </c>
      <c r="E4" s="19" t="s">
        <v>100</v>
      </c>
      <c r="F4" s="19" t="s">
        <v>101</v>
      </c>
      <c r="G4" s="19" t="s">
        <v>39</v>
      </c>
      <c r="H4" s="20">
        <v>50000000</v>
      </c>
      <c r="I4" s="21">
        <v>0</v>
      </c>
      <c r="J4" s="21">
        <v>5</v>
      </c>
      <c r="K4" s="20"/>
      <c r="L4" s="20"/>
      <c r="M4" s="22"/>
      <c r="N4" s="20">
        <v>350000</v>
      </c>
      <c r="O4" s="19" t="s">
        <v>39</v>
      </c>
    </row>
    <row r="5" spans="1:15" x14ac:dyDescent="0.35">
      <c r="A5" s="19" t="s">
        <v>102</v>
      </c>
      <c r="B5" s="19" t="s">
        <v>98</v>
      </c>
      <c r="C5" s="19" t="s">
        <v>38</v>
      </c>
      <c r="D5" s="19" t="s">
        <v>99</v>
      </c>
      <c r="E5" s="19" t="s">
        <v>103</v>
      </c>
      <c r="F5" s="19" t="s">
        <v>101</v>
      </c>
      <c r="G5" s="19" t="s">
        <v>39</v>
      </c>
      <c r="H5" s="20">
        <v>30000000</v>
      </c>
      <c r="I5" s="21">
        <v>0</v>
      </c>
      <c r="J5" s="21">
        <v>2</v>
      </c>
      <c r="K5" s="20"/>
      <c r="L5" s="20"/>
      <c r="M5" s="22"/>
      <c r="N5" s="20">
        <v>-120000</v>
      </c>
      <c r="O5" s="19" t="s">
        <v>39</v>
      </c>
    </row>
    <row r="6" spans="1:15" x14ac:dyDescent="0.35">
      <c r="A6" s="19" t="s">
        <v>104</v>
      </c>
      <c r="B6" s="19" t="s">
        <v>98</v>
      </c>
      <c r="C6" s="19" t="s">
        <v>38</v>
      </c>
      <c r="D6" s="19" t="s">
        <v>105</v>
      </c>
      <c r="E6" s="19" t="s">
        <v>100</v>
      </c>
      <c r="F6" s="19" t="s">
        <v>101</v>
      </c>
      <c r="G6" s="19" t="s">
        <v>39</v>
      </c>
      <c r="H6" s="20">
        <v>20000000</v>
      </c>
      <c r="I6" s="21">
        <v>0</v>
      </c>
      <c r="J6" s="21">
        <v>7</v>
      </c>
      <c r="K6" s="20"/>
      <c r="L6" s="20"/>
      <c r="M6" s="22"/>
      <c r="N6" s="20">
        <v>210000</v>
      </c>
      <c r="O6" s="19" t="s">
        <v>39</v>
      </c>
    </row>
    <row r="7" spans="1:15" x14ac:dyDescent="0.35">
      <c r="A7" s="19" t="s">
        <v>106</v>
      </c>
      <c r="B7" s="19" t="s">
        <v>98</v>
      </c>
      <c r="C7" s="19" t="s">
        <v>41</v>
      </c>
      <c r="D7" s="19" t="s">
        <v>107</v>
      </c>
      <c r="E7" s="19" t="s">
        <v>100</v>
      </c>
      <c r="F7" s="19" t="s">
        <v>101</v>
      </c>
      <c r="G7" s="19" t="s">
        <v>39</v>
      </c>
      <c r="H7" s="20">
        <v>15000000</v>
      </c>
      <c r="I7" s="21">
        <v>0</v>
      </c>
      <c r="J7" s="21">
        <v>1</v>
      </c>
      <c r="K7" s="20"/>
      <c r="L7" s="20"/>
      <c r="M7" s="22"/>
      <c r="N7" s="20">
        <v>45000</v>
      </c>
      <c r="O7" s="19" t="s">
        <v>39</v>
      </c>
    </row>
    <row r="8" spans="1:15" x14ac:dyDescent="0.35">
      <c r="A8" s="19" t="s">
        <v>108</v>
      </c>
      <c r="B8" s="19" t="s">
        <v>98</v>
      </c>
      <c r="C8" s="19" t="s">
        <v>41</v>
      </c>
      <c r="D8" s="19" t="s">
        <v>109</v>
      </c>
      <c r="E8" s="19" t="s">
        <v>103</v>
      </c>
      <c r="F8" s="19" t="s">
        <v>101</v>
      </c>
      <c r="G8" s="19" t="s">
        <v>39</v>
      </c>
      <c r="H8" s="20">
        <v>10000000</v>
      </c>
      <c r="I8" s="21">
        <v>0</v>
      </c>
      <c r="J8" s="21">
        <v>0.5</v>
      </c>
      <c r="K8" s="20"/>
      <c r="L8" s="20"/>
      <c r="M8" s="22"/>
      <c r="N8" s="20">
        <v>-30000</v>
      </c>
      <c r="O8" s="19" t="s">
        <v>39</v>
      </c>
    </row>
    <row r="9" spans="1:15" x14ac:dyDescent="0.35">
      <c r="A9" s="19" t="s">
        <v>110</v>
      </c>
      <c r="B9" s="19" t="s">
        <v>98</v>
      </c>
      <c r="C9" s="19" t="s">
        <v>41</v>
      </c>
      <c r="D9" s="19" t="s">
        <v>111</v>
      </c>
      <c r="E9" s="19" t="s">
        <v>100</v>
      </c>
      <c r="F9" s="19" t="s">
        <v>112</v>
      </c>
      <c r="G9" s="19" t="s">
        <v>113</v>
      </c>
      <c r="H9" s="20">
        <v>8000000</v>
      </c>
      <c r="I9" s="21">
        <v>0</v>
      </c>
      <c r="J9" s="21">
        <v>0.75</v>
      </c>
      <c r="K9" s="20">
        <v>150</v>
      </c>
      <c r="L9" s="20">
        <v>152</v>
      </c>
      <c r="M9" s="22">
        <v>0.1</v>
      </c>
      <c r="N9" s="20">
        <v>60000</v>
      </c>
      <c r="O9" s="19" t="s">
        <v>39</v>
      </c>
    </row>
    <row r="10" spans="1:15" x14ac:dyDescent="0.35">
      <c r="A10" s="19" t="s">
        <v>114</v>
      </c>
      <c r="B10" s="19" t="s">
        <v>98</v>
      </c>
      <c r="C10" s="19" t="s">
        <v>43</v>
      </c>
      <c r="D10" s="19" t="s">
        <v>115</v>
      </c>
      <c r="E10" s="19" t="s">
        <v>100</v>
      </c>
      <c r="F10" s="19" t="s">
        <v>101</v>
      </c>
      <c r="G10" s="19" t="s">
        <v>39</v>
      </c>
      <c r="H10" s="20">
        <v>12000000</v>
      </c>
      <c r="I10" s="21">
        <v>0</v>
      </c>
      <c r="J10" s="21">
        <v>3</v>
      </c>
      <c r="K10" s="20"/>
      <c r="L10" s="20"/>
      <c r="M10" s="22"/>
      <c r="N10" s="20">
        <v>-25000</v>
      </c>
      <c r="O10" s="19" t="s">
        <v>44</v>
      </c>
    </row>
    <row r="11" spans="1:15" x14ac:dyDescent="0.35">
      <c r="A11" s="19" t="s">
        <v>116</v>
      </c>
      <c r="B11" s="19" t="s">
        <v>98</v>
      </c>
      <c r="C11" s="19" t="s">
        <v>43</v>
      </c>
      <c r="D11" s="19" t="s">
        <v>117</v>
      </c>
      <c r="E11" s="19" t="s">
        <v>103</v>
      </c>
      <c r="F11" s="19" t="s">
        <v>101</v>
      </c>
      <c r="G11" s="19" t="s">
        <v>39</v>
      </c>
      <c r="H11" s="20">
        <v>25000000</v>
      </c>
      <c r="I11" s="21">
        <v>0</v>
      </c>
      <c r="J11" s="21">
        <v>5</v>
      </c>
      <c r="K11" s="20"/>
      <c r="L11" s="20"/>
      <c r="M11" s="22"/>
      <c r="N11" s="20">
        <v>40000</v>
      </c>
      <c r="O11" s="19" t="s">
        <v>46</v>
      </c>
    </row>
    <row r="12" spans="1:15" x14ac:dyDescent="0.35">
      <c r="A12" s="19" t="s">
        <v>118</v>
      </c>
      <c r="B12" s="19" t="s">
        <v>98</v>
      </c>
      <c r="C12" s="19" t="s">
        <v>50</v>
      </c>
      <c r="D12" s="19" t="s">
        <v>119</v>
      </c>
      <c r="E12" s="19" t="s">
        <v>100</v>
      </c>
      <c r="F12" s="19" t="s">
        <v>101</v>
      </c>
      <c r="G12" s="19" t="s">
        <v>39</v>
      </c>
      <c r="H12" s="20">
        <v>6000000</v>
      </c>
      <c r="I12" s="21">
        <v>0</v>
      </c>
      <c r="J12" s="21">
        <v>2</v>
      </c>
      <c r="K12" s="20"/>
      <c r="L12" s="20"/>
      <c r="M12" s="22"/>
      <c r="N12" s="20">
        <v>15000</v>
      </c>
      <c r="O12" s="19" t="s">
        <v>51</v>
      </c>
    </row>
    <row r="13" spans="1:15" x14ac:dyDescent="0.35">
      <c r="A13" s="19" t="s">
        <v>120</v>
      </c>
      <c r="B13" s="19" t="s">
        <v>98</v>
      </c>
      <c r="C13" s="19" t="s">
        <v>50</v>
      </c>
      <c r="D13" s="19" t="s">
        <v>121</v>
      </c>
      <c r="E13" s="19" t="s">
        <v>100</v>
      </c>
      <c r="F13" s="19" t="s">
        <v>112</v>
      </c>
      <c r="G13" s="19" t="s">
        <v>122</v>
      </c>
      <c r="H13" s="20">
        <v>10000000</v>
      </c>
      <c r="I13" s="21">
        <v>0</v>
      </c>
      <c r="J13" s="21">
        <v>1</v>
      </c>
      <c r="K13" s="20">
        <v>5000</v>
      </c>
      <c r="L13" s="20">
        <v>4800</v>
      </c>
      <c r="M13" s="22">
        <v>0.18</v>
      </c>
      <c r="N13" s="20">
        <v>-80000</v>
      </c>
      <c r="O13" s="19" t="s">
        <v>53</v>
      </c>
    </row>
    <row r="14" spans="1:15" x14ac:dyDescent="0.35">
      <c r="A14" s="19" t="s">
        <v>123</v>
      </c>
      <c r="B14" s="19" t="s">
        <v>98</v>
      </c>
      <c r="C14" s="19" t="s">
        <v>55</v>
      </c>
      <c r="D14" s="19" t="s">
        <v>56</v>
      </c>
      <c r="E14" s="19" t="s">
        <v>100</v>
      </c>
      <c r="F14" s="19" t="s">
        <v>101</v>
      </c>
      <c r="G14" s="19" t="s">
        <v>39</v>
      </c>
      <c r="H14" s="20">
        <v>5000000</v>
      </c>
      <c r="I14" s="21">
        <v>0</v>
      </c>
      <c r="J14" s="21">
        <v>1</v>
      </c>
      <c r="K14" s="20"/>
      <c r="L14" s="20"/>
      <c r="M14" s="22"/>
      <c r="N14" s="20">
        <v>20000</v>
      </c>
      <c r="O14" s="19" t="s">
        <v>56</v>
      </c>
    </row>
    <row r="15" spans="1:15" x14ac:dyDescent="0.35">
      <c r="A15" s="19" t="s">
        <v>124</v>
      </c>
      <c r="B15" s="19" t="s">
        <v>98</v>
      </c>
      <c r="C15" s="19" t="s">
        <v>55</v>
      </c>
      <c r="D15" s="19" t="s">
        <v>58</v>
      </c>
      <c r="E15" s="19" t="s">
        <v>103</v>
      </c>
      <c r="F15" s="19" t="s">
        <v>101</v>
      </c>
      <c r="G15" s="19" t="s">
        <v>39</v>
      </c>
      <c r="H15" s="20">
        <v>4000000</v>
      </c>
      <c r="I15" s="21">
        <v>0</v>
      </c>
      <c r="J15" s="21">
        <v>2</v>
      </c>
      <c r="K15" s="20"/>
      <c r="L15" s="20"/>
      <c r="M15" s="22"/>
      <c r="N15" s="20">
        <v>-10000</v>
      </c>
      <c r="O15" s="19" t="s">
        <v>58</v>
      </c>
    </row>
    <row r="16" spans="1:15" x14ac:dyDescent="0.35">
      <c r="A16" s="23" t="s">
        <v>125</v>
      </c>
      <c r="B16" s="23" t="s">
        <v>126</v>
      </c>
      <c r="C16" s="23" t="s">
        <v>38</v>
      </c>
      <c r="D16" s="23" t="s">
        <v>99</v>
      </c>
      <c r="E16" s="23" t="s">
        <v>100</v>
      </c>
      <c r="F16" s="23" t="s">
        <v>101</v>
      </c>
      <c r="G16" s="23" t="s">
        <v>39</v>
      </c>
      <c r="H16" s="24">
        <v>40000000</v>
      </c>
      <c r="I16" s="25">
        <v>0</v>
      </c>
      <c r="J16" s="25">
        <v>10</v>
      </c>
      <c r="K16" s="24"/>
      <c r="L16" s="24"/>
      <c r="M16" s="26"/>
      <c r="N16" s="24">
        <v>500000</v>
      </c>
      <c r="O16" s="23" t="s">
        <v>39</v>
      </c>
    </row>
    <row r="17" spans="1:15" x14ac:dyDescent="0.35">
      <c r="A17" s="23" t="s">
        <v>127</v>
      </c>
      <c r="B17" s="23" t="s">
        <v>126</v>
      </c>
      <c r="C17" s="23" t="s">
        <v>38</v>
      </c>
      <c r="D17" s="23" t="s">
        <v>99</v>
      </c>
      <c r="E17" s="23" t="s">
        <v>103</v>
      </c>
      <c r="F17" s="23" t="s">
        <v>101</v>
      </c>
      <c r="G17" s="23" t="s">
        <v>39</v>
      </c>
      <c r="H17" s="24">
        <v>25000000</v>
      </c>
      <c r="I17" s="25">
        <v>0</v>
      </c>
      <c r="J17" s="25">
        <v>3</v>
      </c>
      <c r="K17" s="24"/>
      <c r="L17" s="24"/>
      <c r="M17" s="26"/>
      <c r="N17" s="24">
        <v>-90000</v>
      </c>
      <c r="O17" s="23" t="s">
        <v>39</v>
      </c>
    </row>
    <row r="18" spans="1:15" x14ac:dyDescent="0.35">
      <c r="A18" s="23" t="s">
        <v>128</v>
      </c>
      <c r="B18" s="23" t="s">
        <v>126</v>
      </c>
      <c r="C18" s="23" t="s">
        <v>41</v>
      </c>
      <c r="D18" s="23" t="s">
        <v>107</v>
      </c>
      <c r="E18" s="23" t="s">
        <v>100</v>
      </c>
      <c r="F18" s="23" t="s">
        <v>101</v>
      </c>
      <c r="G18" s="23" t="s">
        <v>39</v>
      </c>
      <c r="H18" s="24">
        <v>18000000</v>
      </c>
      <c r="I18" s="25">
        <v>0</v>
      </c>
      <c r="J18" s="25">
        <v>2</v>
      </c>
      <c r="K18" s="24"/>
      <c r="L18" s="24"/>
      <c r="M18" s="26"/>
      <c r="N18" s="24">
        <v>55000</v>
      </c>
      <c r="O18" s="23" t="s">
        <v>39</v>
      </c>
    </row>
    <row r="19" spans="1:15" x14ac:dyDescent="0.35">
      <c r="A19" s="23" t="s">
        <v>129</v>
      </c>
      <c r="B19" s="23" t="s">
        <v>126</v>
      </c>
      <c r="C19" s="23" t="s">
        <v>41</v>
      </c>
      <c r="D19" s="23" t="s">
        <v>111</v>
      </c>
      <c r="E19" s="23" t="s">
        <v>103</v>
      </c>
      <c r="F19" s="23" t="s">
        <v>101</v>
      </c>
      <c r="G19" s="23" t="s">
        <v>39</v>
      </c>
      <c r="H19" s="24">
        <v>12000000</v>
      </c>
      <c r="I19" s="25">
        <v>0</v>
      </c>
      <c r="J19" s="25">
        <v>1</v>
      </c>
      <c r="K19" s="24"/>
      <c r="L19" s="24"/>
      <c r="M19" s="26"/>
      <c r="N19" s="24">
        <v>-40000</v>
      </c>
      <c r="O19" s="23" t="s">
        <v>39</v>
      </c>
    </row>
    <row r="20" spans="1:15" x14ac:dyDescent="0.35">
      <c r="A20" s="23" t="s">
        <v>130</v>
      </c>
      <c r="B20" s="23" t="s">
        <v>126</v>
      </c>
      <c r="C20" s="23" t="s">
        <v>43</v>
      </c>
      <c r="D20" s="23" t="s">
        <v>131</v>
      </c>
      <c r="E20" s="23" t="s">
        <v>100</v>
      </c>
      <c r="F20" s="23" t="s">
        <v>101</v>
      </c>
      <c r="G20" s="23" t="s">
        <v>39</v>
      </c>
      <c r="H20" s="24">
        <v>15000000</v>
      </c>
      <c r="I20" s="25">
        <v>0</v>
      </c>
      <c r="J20" s="25">
        <v>4</v>
      </c>
      <c r="K20" s="24"/>
      <c r="L20" s="24"/>
      <c r="M20" s="26"/>
      <c r="N20" s="24">
        <v>-35000</v>
      </c>
      <c r="O20" s="23" t="s">
        <v>48</v>
      </c>
    </row>
    <row r="21" spans="1:15" x14ac:dyDescent="0.35">
      <c r="A21" s="23" t="s">
        <v>132</v>
      </c>
      <c r="B21" s="23" t="s">
        <v>126</v>
      </c>
      <c r="C21" s="23" t="s">
        <v>50</v>
      </c>
      <c r="D21" s="23" t="s">
        <v>121</v>
      </c>
      <c r="E21" s="23" t="s">
        <v>100</v>
      </c>
      <c r="F21" s="23" t="s">
        <v>101</v>
      </c>
      <c r="G21" s="23" t="s">
        <v>39</v>
      </c>
      <c r="H21" s="24">
        <v>20000000</v>
      </c>
      <c r="I21" s="25">
        <v>0</v>
      </c>
      <c r="J21" s="25">
        <v>3</v>
      </c>
      <c r="K21" s="24"/>
      <c r="L21" s="24"/>
      <c r="M21" s="26"/>
      <c r="N21" s="24">
        <v>80000</v>
      </c>
      <c r="O21" s="23" t="s">
        <v>53</v>
      </c>
    </row>
    <row r="23" spans="1:15" x14ac:dyDescent="0.35">
      <c r="A23" s="27" t="s">
        <v>133</v>
      </c>
    </row>
    <row r="24" spans="1:15" x14ac:dyDescent="0.35">
      <c r="A24" s="28" t="s">
        <v>134</v>
      </c>
    </row>
    <row r="25" spans="1:15" x14ac:dyDescent="0.35">
      <c r="A25" s="29" t="s">
        <v>135</v>
      </c>
    </row>
    <row r="26" spans="1:15" x14ac:dyDescent="0.35">
      <c r="A26" s="30" t="s">
        <v>136</v>
      </c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showGridLines="0" zoomScaleNormal="100" workbookViewId="0">
      <pane ySplit="3" topLeftCell="A4" activePane="bottomLeft" state="frozen"/>
      <selection pane="bottomLeft" sqref="A1:Q1"/>
    </sheetView>
  </sheetViews>
  <sheetFormatPr defaultColWidth="8.6328125" defaultRowHeight="14.5" x14ac:dyDescent="0.35"/>
  <cols>
    <col min="1" max="1" width="18" customWidth="1"/>
    <col min="2" max="3" width="11" customWidth="1"/>
    <col min="4" max="4" width="12" customWidth="1"/>
    <col min="5" max="6" width="9" customWidth="1"/>
    <col min="7" max="7" width="8" customWidth="1"/>
    <col min="8" max="9" width="9" customWidth="1"/>
    <col min="10" max="10" width="15" customWidth="1"/>
    <col min="11" max="13" width="9" customWidth="1"/>
    <col min="14" max="14" width="17" customWidth="1"/>
    <col min="15" max="15" width="15" customWidth="1"/>
    <col min="16" max="16" width="10" customWidth="1"/>
    <col min="17" max="17" width="8" customWidth="1"/>
  </cols>
  <sheetData>
    <row r="1" spans="1:18" ht="21.75" customHeight="1" x14ac:dyDescent="0.4">
      <c r="A1" s="2" t="s">
        <v>137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3" spans="1:18" ht="39" x14ac:dyDescent="0.35">
      <c r="A3" s="7" t="s">
        <v>84</v>
      </c>
      <c r="B3" s="7" t="s">
        <v>85</v>
      </c>
      <c r="C3" s="7" t="s">
        <v>33</v>
      </c>
      <c r="D3" s="7" t="s">
        <v>86</v>
      </c>
      <c r="E3" s="7" t="s">
        <v>87</v>
      </c>
      <c r="F3" s="7" t="s">
        <v>88</v>
      </c>
      <c r="G3" s="7" t="s">
        <v>89</v>
      </c>
      <c r="H3" s="7" t="s">
        <v>92</v>
      </c>
      <c r="I3" s="7" t="s">
        <v>138</v>
      </c>
      <c r="J3" s="7" t="s">
        <v>139</v>
      </c>
      <c r="K3" s="7" t="s">
        <v>140</v>
      </c>
      <c r="L3" s="7" t="s">
        <v>141</v>
      </c>
      <c r="M3" s="7" t="s">
        <v>142</v>
      </c>
      <c r="N3" s="7" t="s">
        <v>143</v>
      </c>
      <c r="O3" s="7" t="s">
        <v>144</v>
      </c>
      <c r="P3" s="7" t="s">
        <v>145</v>
      </c>
      <c r="Q3" s="7" t="s">
        <v>36</v>
      </c>
      <c r="R3" s="7" t="s">
        <v>146</v>
      </c>
    </row>
    <row r="4" spans="1:18" x14ac:dyDescent="0.35">
      <c r="A4" s="31" t="str">
        <f>Trade_Inputs!A4</f>
        <v>IRS-USD-5Y</v>
      </c>
      <c r="B4" s="31" t="str">
        <f>Trade_Inputs!B4</f>
        <v>NS-A</v>
      </c>
      <c r="C4" s="31" t="str">
        <f>Trade_Inputs!C4</f>
        <v>IR</v>
      </c>
      <c r="D4" s="31" t="str">
        <f>Trade_Inputs!D4</f>
        <v>USD</v>
      </c>
      <c r="E4" s="31" t="str">
        <f>Trade_Inputs!E4</f>
        <v>Long</v>
      </c>
      <c r="F4" s="31" t="str">
        <f>Trade_Inputs!F4</f>
        <v>Linear</v>
      </c>
      <c r="G4" s="31" t="str">
        <f>Trade_Inputs!G4</f>
        <v>NA</v>
      </c>
      <c r="H4" s="32">
        <f>Trade_Inputs!J4</f>
        <v>5</v>
      </c>
      <c r="I4" s="33">
        <f>IF(OR(C4="IR",C4="Credit"),(EXP(-0.05*Trade_Inputs!I4)-EXP(-0.05*Trade_Inputs!J4))/0.05,"")</f>
        <v>4.423984338571902</v>
      </c>
      <c r="J4" s="34">
        <f>IF(OR(C4="IR",C4="Credit"),Trade_Inputs!H4*I4,Trade_Inputs!H4)</f>
        <v>221199216.9285951</v>
      </c>
      <c r="K4" s="33" t="str">
        <f>IF(F4="Option",(LN(Trade_Inputs!K4/Trade_Inputs!L4)+0.5*Trade_Inputs!M4^2*Trade_Inputs!J4)/(Trade_Inputs!M4*SQRT(Trade_Inputs!J4)),"")</f>
        <v/>
      </c>
      <c r="L4" s="33">
        <f t="shared" ref="L4:L21" si="0">IF(F4="Linear",IF(E4="Long",1,-1),IF(AND(F4="Option",G4="Call"),IF(E4="Long",NORMSDIST(K4),-NORMSDIST(K4)),IF(AND(F4="Option",G4="Put"),IF(E4="Long",-NORMSDIST(-K4),NORMSDIST(-K4)),"")))</f>
        <v>1</v>
      </c>
      <c r="M4" s="33">
        <f>SQRT(MIN(MAX(H4,Supervisory_Params!$B$25/Supervisory_Params!$B$26),1))</f>
        <v>1</v>
      </c>
      <c r="N4" s="33">
        <f>Supervisory_Params!$B$28</f>
        <v>0.30000000000000004</v>
      </c>
      <c r="O4" s="34">
        <f t="shared" ref="O4:O21" si="1">L4*J4*M4</f>
        <v>221199216.9285951</v>
      </c>
      <c r="P4" s="34">
        <f t="shared" ref="P4:P21" si="2">L4*J4*N4</f>
        <v>66359765.078578539</v>
      </c>
      <c r="Q4" s="35">
        <f>INDEX(Supervisory_Params!$D$5:$D$13,MATCH(C4&amp;"|"&amp;Trade_Inputs!O4,Supervisory_Params!$C$5:$C$13,0))</f>
        <v>5.0000000000000001E-3</v>
      </c>
      <c r="R4" s="36">
        <f>IF(OR(C4="IR",C4="FX"),0,IF(C4="Commodity",Supervisory_Params!$B$23,IF(ISNUMBER(SEARCH("Index",Trade_Inputs!O4)),Supervisory_Params!$B$22,Supervisory_Params!$B$21)))</f>
        <v>0</v>
      </c>
    </row>
    <row r="5" spans="1:18" x14ac:dyDescent="0.35">
      <c r="A5" s="31" t="str">
        <f>Trade_Inputs!A5</f>
        <v>IRS-USD-2Y</v>
      </c>
      <c r="B5" s="31" t="str">
        <f>Trade_Inputs!B5</f>
        <v>NS-A</v>
      </c>
      <c r="C5" s="31" t="str">
        <f>Trade_Inputs!C5</f>
        <v>IR</v>
      </c>
      <c r="D5" s="31" t="str">
        <f>Trade_Inputs!D5</f>
        <v>USD</v>
      </c>
      <c r="E5" s="31" t="str">
        <f>Trade_Inputs!E5</f>
        <v>Short</v>
      </c>
      <c r="F5" s="31" t="str">
        <f>Trade_Inputs!F5</f>
        <v>Linear</v>
      </c>
      <c r="G5" s="31" t="str">
        <f>Trade_Inputs!G5</f>
        <v>NA</v>
      </c>
      <c r="H5" s="32">
        <f>Trade_Inputs!J5</f>
        <v>2</v>
      </c>
      <c r="I5" s="33">
        <f>IF(OR(C5="IR",C5="Credit"),(EXP(-0.05*Trade_Inputs!I5)-EXP(-0.05*Trade_Inputs!J5))/0.05,"")</f>
        <v>1.9032516392808096</v>
      </c>
      <c r="J5" s="34">
        <f>IF(OR(C5="IR",C5="Credit"),Trade_Inputs!H5*I5,Trade_Inputs!H5)</f>
        <v>57097549.178424291</v>
      </c>
      <c r="K5" s="33" t="str">
        <f>IF(F5="Option",(LN(Trade_Inputs!K5/Trade_Inputs!L5)+0.5*Trade_Inputs!M5^2*Trade_Inputs!J5)/(Trade_Inputs!M5*SQRT(Trade_Inputs!J5)),"")</f>
        <v/>
      </c>
      <c r="L5" s="33">
        <f t="shared" si="0"/>
        <v>-1</v>
      </c>
      <c r="M5" s="33">
        <f>SQRT(MIN(MAX(H5,Supervisory_Params!$B$25/Supervisory_Params!$B$26),1))</f>
        <v>1</v>
      </c>
      <c r="N5" s="33">
        <f>Supervisory_Params!$B$28</f>
        <v>0.30000000000000004</v>
      </c>
      <c r="O5" s="34">
        <f t="shared" si="1"/>
        <v>-57097549.178424291</v>
      </c>
      <c r="P5" s="34">
        <f t="shared" si="2"/>
        <v>-17129264.753527291</v>
      </c>
      <c r="Q5" s="35">
        <f>INDEX(Supervisory_Params!$D$5:$D$13,MATCH(C5&amp;"|"&amp;Trade_Inputs!O5,Supervisory_Params!$C$5:$C$13,0))</f>
        <v>5.0000000000000001E-3</v>
      </c>
      <c r="R5" s="36">
        <f>IF(OR(C5="IR",C5="FX"),0,IF(C5="Commodity",Supervisory_Params!$B$23,IF(ISNUMBER(SEARCH("Index",Trade_Inputs!O5)),Supervisory_Params!$B$22,Supervisory_Params!$B$21)))</f>
        <v>0</v>
      </c>
    </row>
    <row r="6" spans="1:18" x14ac:dyDescent="0.35">
      <c r="A6" s="31" t="str">
        <f>Trade_Inputs!A6</f>
        <v>IRS-EUR-7Y</v>
      </c>
      <c r="B6" s="31" t="str">
        <f>Trade_Inputs!B6</f>
        <v>NS-A</v>
      </c>
      <c r="C6" s="31" t="str">
        <f>Trade_Inputs!C6</f>
        <v>IR</v>
      </c>
      <c r="D6" s="31" t="str">
        <f>Trade_Inputs!D6</f>
        <v>EUR</v>
      </c>
      <c r="E6" s="31" t="str">
        <f>Trade_Inputs!E6</f>
        <v>Long</v>
      </c>
      <c r="F6" s="31" t="str">
        <f>Trade_Inputs!F6</f>
        <v>Linear</v>
      </c>
      <c r="G6" s="31" t="str">
        <f>Trade_Inputs!G6</f>
        <v>NA</v>
      </c>
      <c r="H6" s="32">
        <f>Trade_Inputs!J6</f>
        <v>7</v>
      </c>
      <c r="I6" s="33">
        <f>IF(OR(C6="IR",C6="Credit"),(EXP(-0.05*Trade_Inputs!I6)-EXP(-0.05*Trade_Inputs!J6))/0.05,"")</f>
        <v>5.9062382056257308</v>
      </c>
      <c r="J6" s="34">
        <f>IF(OR(C6="IR",C6="Credit"),Trade_Inputs!H6*I6,Trade_Inputs!H6)</f>
        <v>118124764.11251462</v>
      </c>
      <c r="K6" s="33" t="str">
        <f>IF(F6="Option",(LN(Trade_Inputs!K6/Trade_Inputs!L6)+0.5*Trade_Inputs!M6^2*Trade_Inputs!J6)/(Trade_Inputs!M6*SQRT(Trade_Inputs!J6)),"")</f>
        <v/>
      </c>
      <c r="L6" s="33">
        <f t="shared" si="0"/>
        <v>1</v>
      </c>
      <c r="M6" s="33">
        <f>SQRT(MIN(MAX(H6,Supervisory_Params!$B$25/Supervisory_Params!$B$26),1))</f>
        <v>1</v>
      </c>
      <c r="N6" s="33">
        <f>Supervisory_Params!$B$28</f>
        <v>0.30000000000000004</v>
      </c>
      <c r="O6" s="34">
        <f t="shared" si="1"/>
        <v>118124764.11251462</v>
      </c>
      <c r="P6" s="34">
        <f t="shared" si="2"/>
        <v>35437429.233754389</v>
      </c>
      <c r="Q6" s="35">
        <f>INDEX(Supervisory_Params!$D$5:$D$13,MATCH(C6&amp;"|"&amp;Trade_Inputs!O6,Supervisory_Params!$C$5:$C$13,0))</f>
        <v>5.0000000000000001E-3</v>
      </c>
      <c r="R6" s="36">
        <f>IF(OR(C6="IR",C6="FX"),0,IF(C6="Commodity",Supervisory_Params!$B$23,IF(ISNUMBER(SEARCH("Index",Trade_Inputs!O6)),Supervisory_Params!$B$22,Supervisory_Params!$B$21)))</f>
        <v>0</v>
      </c>
    </row>
    <row r="7" spans="1:18" x14ac:dyDescent="0.35">
      <c r="A7" s="31" t="str">
        <f>Trade_Inputs!A7</f>
        <v>FXFWD-EURUSD-1Y</v>
      </c>
      <c r="B7" s="31" t="str">
        <f>Trade_Inputs!B7</f>
        <v>NS-A</v>
      </c>
      <c r="C7" s="31" t="str">
        <f>Trade_Inputs!C7</f>
        <v>FX</v>
      </c>
      <c r="D7" s="31" t="str">
        <f>Trade_Inputs!D7</f>
        <v>EURUSD</v>
      </c>
      <c r="E7" s="31" t="str">
        <f>Trade_Inputs!E7</f>
        <v>Long</v>
      </c>
      <c r="F7" s="31" t="str">
        <f>Trade_Inputs!F7</f>
        <v>Linear</v>
      </c>
      <c r="G7" s="31" t="str">
        <f>Trade_Inputs!G7</f>
        <v>NA</v>
      </c>
      <c r="H7" s="32">
        <f>Trade_Inputs!J7</f>
        <v>1</v>
      </c>
      <c r="I7" s="33" t="str">
        <f>IF(OR(C7="IR",C7="Credit"),(EXP(-0.05*Trade_Inputs!I7)-EXP(-0.05*Trade_Inputs!J7))/0.05,"")</f>
        <v/>
      </c>
      <c r="J7" s="34">
        <f>IF(OR(C7="IR",C7="Credit"),Trade_Inputs!H7*I7,Trade_Inputs!H7)</f>
        <v>15000000</v>
      </c>
      <c r="K7" s="33" t="str">
        <f>IF(F7="Option",(LN(Trade_Inputs!K7/Trade_Inputs!L7)+0.5*Trade_Inputs!M7^2*Trade_Inputs!J7)/(Trade_Inputs!M7*SQRT(Trade_Inputs!J7)),"")</f>
        <v/>
      </c>
      <c r="L7" s="33">
        <f t="shared" si="0"/>
        <v>1</v>
      </c>
      <c r="M7" s="33">
        <f>SQRT(MIN(MAX(H7,Supervisory_Params!$B$25/Supervisory_Params!$B$26),1))</f>
        <v>1</v>
      </c>
      <c r="N7" s="33">
        <f>Supervisory_Params!$B$28</f>
        <v>0.30000000000000004</v>
      </c>
      <c r="O7" s="34">
        <f t="shared" si="1"/>
        <v>15000000</v>
      </c>
      <c r="P7" s="34">
        <f t="shared" si="2"/>
        <v>4500000.0000000009</v>
      </c>
      <c r="Q7" s="35">
        <f>INDEX(Supervisory_Params!$D$5:$D$13,MATCH(C7&amp;"|"&amp;Trade_Inputs!O7,Supervisory_Params!$C$5:$C$13,0))</f>
        <v>0.04</v>
      </c>
      <c r="R7" s="36">
        <f>IF(OR(C7="IR",C7="FX"),0,IF(C7="Commodity",Supervisory_Params!$B$23,IF(ISNUMBER(SEARCH("Index",Trade_Inputs!O7)),Supervisory_Params!$B$22,Supervisory_Params!$B$21)))</f>
        <v>0</v>
      </c>
    </row>
    <row r="8" spans="1:18" x14ac:dyDescent="0.35">
      <c r="A8" s="31" t="str">
        <f>Trade_Inputs!A8</f>
        <v>FXFWD-GBPUSD-6M</v>
      </c>
      <c r="B8" s="31" t="str">
        <f>Trade_Inputs!B8</f>
        <v>NS-A</v>
      </c>
      <c r="C8" s="31" t="str">
        <f>Trade_Inputs!C8</f>
        <v>FX</v>
      </c>
      <c r="D8" s="31" t="str">
        <f>Trade_Inputs!D8</f>
        <v>GBPUSD</v>
      </c>
      <c r="E8" s="31" t="str">
        <f>Trade_Inputs!E8</f>
        <v>Short</v>
      </c>
      <c r="F8" s="31" t="str">
        <f>Trade_Inputs!F8</f>
        <v>Linear</v>
      </c>
      <c r="G8" s="31" t="str">
        <f>Trade_Inputs!G8</f>
        <v>NA</v>
      </c>
      <c r="H8" s="32">
        <f>Trade_Inputs!J8</f>
        <v>0.5</v>
      </c>
      <c r="I8" s="33" t="str">
        <f>IF(OR(C8="IR",C8="Credit"),(EXP(-0.05*Trade_Inputs!I8)-EXP(-0.05*Trade_Inputs!J8))/0.05,"")</f>
        <v/>
      </c>
      <c r="J8" s="34">
        <f>IF(OR(C8="IR",C8="Credit"),Trade_Inputs!H8*I8,Trade_Inputs!H8)</f>
        <v>10000000</v>
      </c>
      <c r="K8" s="33" t="str">
        <f>IF(F8="Option",(LN(Trade_Inputs!K8/Trade_Inputs!L8)+0.5*Trade_Inputs!M8^2*Trade_Inputs!J8)/(Trade_Inputs!M8*SQRT(Trade_Inputs!J8)),"")</f>
        <v/>
      </c>
      <c r="L8" s="33">
        <f t="shared" si="0"/>
        <v>-1</v>
      </c>
      <c r="M8" s="33">
        <f>SQRT(MIN(MAX(H8,Supervisory_Params!$B$25/Supervisory_Params!$B$26),1))</f>
        <v>0.70710678118654757</v>
      </c>
      <c r="N8" s="33">
        <f>Supervisory_Params!$B$28</f>
        <v>0.30000000000000004</v>
      </c>
      <c r="O8" s="34">
        <f t="shared" si="1"/>
        <v>-7071067.811865476</v>
      </c>
      <c r="P8" s="34">
        <f t="shared" si="2"/>
        <v>-3000000.0000000005</v>
      </c>
      <c r="Q8" s="35">
        <f>INDEX(Supervisory_Params!$D$5:$D$13,MATCH(C8&amp;"|"&amp;Trade_Inputs!O8,Supervisory_Params!$C$5:$C$13,0))</f>
        <v>0.04</v>
      </c>
      <c r="R8" s="36">
        <f>IF(OR(C8="IR",C8="FX"),0,IF(C8="Commodity",Supervisory_Params!$B$23,IF(ISNUMBER(SEARCH("Index",Trade_Inputs!O8)),Supervisory_Params!$B$22,Supervisory_Params!$B$21)))</f>
        <v>0</v>
      </c>
    </row>
    <row r="9" spans="1:18" x14ac:dyDescent="0.35">
      <c r="A9" s="31" t="str">
        <f>Trade_Inputs!A9</f>
        <v>FXOPT-USDJPY-9M</v>
      </c>
      <c r="B9" s="31" t="str">
        <f>Trade_Inputs!B9</f>
        <v>NS-A</v>
      </c>
      <c r="C9" s="31" t="str">
        <f>Trade_Inputs!C9</f>
        <v>FX</v>
      </c>
      <c r="D9" s="31" t="str">
        <f>Trade_Inputs!D9</f>
        <v>USDJPY</v>
      </c>
      <c r="E9" s="31" t="str">
        <f>Trade_Inputs!E9</f>
        <v>Long</v>
      </c>
      <c r="F9" s="31" t="str">
        <f>Trade_Inputs!F9</f>
        <v>Option</v>
      </c>
      <c r="G9" s="31" t="str">
        <f>Trade_Inputs!G9</f>
        <v>Call</v>
      </c>
      <c r="H9" s="32">
        <f>Trade_Inputs!J9</f>
        <v>0.75</v>
      </c>
      <c r="I9" s="33" t="str">
        <f>IF(OR(C9="IR",C9="Credit"),(EXP(-0.05*Trade_Inputs!I9)-EXP(-0.05*Trade_Inputs!J9))/0.05,"")</f>
        <v/>
      </c>
      <c r="J9" s="34">
        <f>IF(OR(C9="IR",C9="Credit"),Trade_Inputs!H9*I9,Trade_Inputs!H9)</f>
        <v>8000000</v>
      </c>
      <c r="K9" s="33">
        <f>IF(F9="Option",(LN(Trade_Inputs!K9/Trade_Inputs!L9)+0.5*Trade_Inputs!M9^2*Trade_Inputs!J9)/(Trade_Inputs!M9*SQRT(Trade_Inputs!J9)),"")</f>
        <v>-0.1096414344028195</v>
      </c>
      <c r="L9" s="33">
        <f t="shared" si="0"/>
        <v>0.45634687441417099</v>
      </c>
      <c r="M9" s="33">
        <f>SQRT(MIN(MAX(H9,Supervisory_Params!$B$25/Supervisory_Params!$B$26),1))</f>
        <v>0.8660254037844386</v>
      </c>
      <c r="N9" s="33">
        <f>Supervisory_Params!$B$28</f>
        <v>0.30000000000000004</v>
      </c>
      <c r="O9" s="34">
        <f t="shared" si="1"/>
        <v>3161663.8894423912</v>
      </c>
      <c r="P9" s="34">
        <f t="shared" si="2"/>
        <v>1095232.4985940105</v>
      </c>
      <c r="Q9" s="35">
        <f>INDEX(Supervisory_Params!$D$5:$D$13,MATCH(C9&amp;"|"&amp;Trade_Inputs!O9,Supervisory_Params!$C$5:$C$13,0))</f>
        <v>0.04</v>
      </c>
      <c r="R9" s="36">
        <f>IF(OR(C9="IR",C9="FX"),0,IF(C9="Commodity",Supervisory_Params!$B$23,IF(ISNUMBER(SEARCH("Index",Trade_Inputs!O9)),Supervisory_Params!$B$22,Supervisory_Params!$B$21)))</f>
        <v>0</v>
      </c>
    </row>
    <row r="10" spans="1:18" x14ac:dyDescent="0.35">
      <c r="A10" s="31" t="str">
        <f>Trade_Inputs!A10</f>
        <v>CDS-SN-BBB-3Y</v>
      </c>
      <c r="B10" s="31" t="str">
        <f>Trade_Inputs!B10</f>
        <v>NS-A</v>
      </c>
      <c r="C10" s="31" t="str">
        <f>Trade_Inputs!C10</f>
        <v>Credit</v>
      </c>
      <c r="D10" s="31" t="str">
        <f>Trade_Inputs!D10</f>
        <v>Corp_XYZ</v>
      </c>
      <c r="E10" s="31" t="str">
        <f>Trade_Inputs!E10</f>
        <v>Long</v>
      </c>
      <c r="F10" s="31" t="str">
        <f>Trade_Inputs!F10</f>
        <v>Linear</v>
      </c>
      <c r="G10" s="31" t="str">
        <f>Trade_Inputs!G10</f>
        <v>NA</v>
      </c>
      <c r="H10" s="32">
        <f>Trade_Inputs!J10</f>
        <v>3</v>
      </c>
      <c r="I10" s="33">
        <f>IF(OR(C10="IR",C10="Credit"),(EXP(-0.05*Trade_Inputs!I10)-EXP(-0.05*Trade_Inputs!J10))/0.05,"")</f>
        <v>2.7858404714988438</v>
      </c>
      <c r="J10" s="34">
        <f>IF(OR(C10="IR",C10="Credit"),Trade_Inputs!H10*I10,Trade_Inputs!H10)</f>
        <v>33430085.657986127</v>
      </c>
      <c r="K10" s="33" t="str">
        <f>IF(F10="Option",(LN(Trade_Inputs!K10/Trade_Inputs!L10)+0.5*Trade_Inputs!M10^2*Trade_Inputs!J10)/(Trade_Inputs!M10*SQRT(Trade_Inputs!J10)),"")</f>
        <v/>
      </c>
      <c r="L10" s="33">
        <f t="shared" si="0"/>
        <v>1</v>
      </c>
      <c r="M10" s="33">
        <f>SQRT(MIN(MAX(H10,Supervisory_Params!$B$25/Supervisory_Params!$B$26),1))</f>
        <v>1</v>
      </c>
      <c r="N10" s="33">
        <f>Supervisory_Params!$B$28</f>
        <v>0.30000000000000004</v>
      </c>
      <c r="O10" s="34">
        <f t="shared" si="1"/>
        <v>33430085.657986127</v>
      </c>
      <c r="P10" s="34">
        <f t="shared" si="2"/>
        <v>10029025.697395839</v>
      </c>
      <c r="Q10" s="35">
        <f>INDEX(Supervisory_Params!$D$5:$D$13,MATCH(C10&amp;"|"&amp;Trade_Inputs!O10,Supervisory_Params!$C$5:$C$13,0))</f>
        <v>5.4000000000000003E-3</v>
      </c>
      <c r="R10" s="36">
        <f>IF(OR(C10="IR",C10="FX"),0,IF(C10="Commodity",Supervisory_Params!$B$23,IF(ISNUMBER(SEARCH("Index",Trade_Inputs!O10)),Supervisory_Params!$B$22,Supervisory_Params!$B$21)))</f>
        <v>0.5</v>
      </c>
    </row>
    <row r="11" spans="1:18" x14ac:dyDescent="0.35">
      <c r="A11" s="31" t="str">
        <f>Trade_Inputs!A11</f>
        <v>CDS-IDX-IG-5Y</v>
      </c>
      <c r="B11" s="31" t="str">
        <f>Trade_Inputs!B11</f>
        <v>NS-A</v>
      </c>
      <c r="C11" s="31" t="str">
        <f>Trade_Inputs!C11</f>
        <v>Credit</v>
      </c>
      <c r="D11" s="31" t="str">
        <f>Trade_Inputs!D11</f>
        <v>CDX_IG</v>
      </c>
      <c r="E11" s="31" t="str">
        <f>Trade_Inputs!E11</f>
        <v>Short</v>
      </c>
      <c r="F11" s="31" t="str">
        <f>Trade_Inputs!F11</f>
        <v>Linear</v>
      </c>
      <c r="G11" s="31" t="str">
        <f>Trade_Inputs!G11</f>
        <v>NA</v>
      </c>
      <c r="H11" s="32">
        <f>Trade_Inputs!J11</f>
        <v>5</v>
      </c>
      <c r="I11" s="33">
        <f>IF(OR(C11="IR",C11="Credit"),(EXP(-0.05*Trade_Inputs!I11)-EXP(-0.05*Trade_Inputs!J11))/0.05,"")</f>
        <v>4.423984338571902</v>
      </c>
      <c r="J11" s="34">
        <f>IF(OR(C11="IR",C11="Credit"),Trade_Inputs!H11*I11,Trade_Inputs!H11)</f>
        <v>110599608.46429755</v>
      </c>
      <c r="K11" s="33" t="str">
        <f>IF(F11="Option",(LN(Trade_Inputs!K11/Trade_Inputs!L11)+0.5*Trade_Inputs!M11^2*Trade_Inputs!J11)/(Trade_Inputs!M11*SQRT(Trade_Inputs!J11)),"")</f>
        <v/>
      </c>
      <c r="L11" s="33">
        <f t="shared" si="0"/>
        <v>-1</v>
      </c>
      <c r="M11" s="33">
        <f>SQRT(MIN(MAX(H11,Supervisory_Params!$B$25/Supervisory_Params!$B$26),1))</f>
        <v>1</v>
      </c>
      <c r="N11" s="33">
        <f>Supervisory_Params!$B$28</f>
        <v>0.30000000000000004</v>
      </c>
      <c r="O11" s="34">
        <f t="shared" si="1"/>
        <v>-110599608.46429755</v>
      </c>
      <c r="P11" s="34">
        <f t="shared" si="2"/>
        <v>-33179882.53928927</v>
      </c>
      <c r="Q11" s="35">
        <f>INDEX(Supervisory_Params!$D$5:$D$13,MATCH(C11&amp;"|"&amp;Trade_Inputs!O11,Supervisory_Params!$C$5:$C$13,0))</f>
        <v>3.8E-3</v>
      </c>
      <c r="R11" s="36">
        <f>IF(OR(C11="IR",C11="FX"),0,IF(C11="Commodity",Supervisory_Params!$B$23,IF(ISNUMBER(SEARCH("Index",Trade_Inputs!O11)),Supervisory_Params!$B$22,Supervisory_Params!$B$21)))</f>
        <v>0.8</v>
      </c>
    </row>
    <row r="12" spans="1:18" x14ac:dyDescent="0.35">
      <c r="A12" s="31" t="str">
        <f>Trade_Inputs!A12</f>
        <v>EQSWAP-SN-XYZ-2Y</v>
      </c>
      <c r="B12" s="31" t="str">
        <f>Trade_Inputs!B12</f>
        <v>NS-A</v>
      </c>
      <c r="C12" s="31" t="str">
        <f>Trade_Inputs!C12</f>
        <v>Equity</v>
      </c>
      <c r="D12" s="31" t="str">
        <f>Trade_Inputs!D12</f>
        <v>Equity_XYZ</v>
      </c>
      <c r="E12" s="31" t="str">
        <f>Trade_Inputs!E12</f>
        <v>Long</v>
      </c>
      <c r="F12" s="31" t="str">
        <f>Trade_Inputs!F12</f>
        <v>Linear</v>
      </c>
      <c r="G12" s="31" t="str">
        <f>Trade_Inputs!G12</f>
        <v>NA</v>
      </c>
      <c r="H12" s="32">
        <f>Trade_Inputs!J12</f>
        <v>2</v>
      </c>
      <c r="I12" s="33" t="str">
        <f>IF(OR(C12="IR",C12="Credit"),(EXP(-0.05*Trade_Inputs!I12)-EXP(-0.05*Trade_Inputs!J12))/0.05,"")</f>
        <v/>
      </c>
      <c r="J12" s="34">
        <f>IF(OR(C12="IR",C12="Credit"),Trade_Inputs!H12*I12,Trade_Inputs!H12)</f>
        <v>6000000</v>
      </c>
      <c r="K12" s="33" t="str">
        <f>IF(F12="Option",(LN(Trade_Inputs!K12/Trade_Inputs!L12)+0.5*Trade_Inputs!M12^2*Trade_Inputs!J12)/(Trade_Inputs!M12*SQRT(Trade_Inputs!J12)),"")</f>
        <v/>
      </c>
      <c r="L12" s="33">
        <f t="shared" si="0"/>
        <v>1</v>
      </c>
      <c r="M12" s="33">
        <f>SQRT(MIN(MAX(H12,Supervisory_Params!$B$25/Supervisory_Params!$B$26),1))</f>
        <v>1</v>
      </c>
      <c r="N12" s="33">
        <f>Supervisory_Params!$B$28</f>
        <v>0.30000000000000004</v>
      </c>
      <c r="O12" s="34">
        <f t="shared" si="1"/>
        <v>6000000</v>
      </c>
      <c r="P12" s="34">
        <f t="shared" si="2"/>
        <v>1800000.0000000002</v>
      </c>
      <c r="Q12" s="35">
        <f>INDEX(Supervisory_Params!$D$5:$D$13,MATCH(C12&amp;"|"&amp;Trade_Inputs!O12,Supervisory_Params!$C$5:$C$13,0))</f>
        <v>0.32</v>
      </c>
      <c r="R12" s="36">
        <f>IF(OR(C12="IR",C12="FX"),0,IF(C12="Commodity",Supervisory_Params!$B$23,IF(ISNUMBER(SEARCH("Index",Trade_Inputs!O12)),Supervisory_Params!$B$22,Supervisory_Params!$B$21)))</f>
        <v>0.5</v>
      </c>
    </row>
    <row r="13" spans="1:18" x14ac:dyDescent="0.35">
      <c r="A13" s="31" t="str">
        <f>Trade_Inputs!A13</f>
        <v>EQOPT-IDX-SPX-1Y</v>
      </c>
      <c r="B13" s="31" t="str">
        <f>Trade_Inputs!B13</f>
        <v>NS-A</v>
      </c>
      <c r="C13" s="31" t="str">
        <f>Trade_Inputs!C13</f>
        <v>Equity</v>
      </c>
      <c r="D13" s="31" t="str">
        <f>Trade_Inputs!D13</f>
        <v>Equity_SPX</v>
      </c>
      <c r="E13" s="31" t="str">
        <f>Trade_Inputs!E13</f>
        <v>Long</v>
      </c>
      <c r="F13" s="31" t="str">
        <f>Trade_Inputs!F13</f>
        <v>Option</v>
      </c>
      <c r="G13" s="31" t="str">
        <f>Trade_Inputs!G13</f>
        <v>Put</v>
      </c>
      <c r="H13" s="32">
        <f>Trade_Inputs!J13</f>
        <v>1</v>
      </c>
      <c r="I13" s="33" t="str">
        <f>IF(OR(C13="IR",C13="Credit"),(EXP(-0.05*Trade_Inputs!I13)-EXP(-0.05*Trade_Inputs!J13))/0.05,"")</f>
        <v/>
      </c>
      <c r="J13" s="34">
        <f>IF(OR(C13="IR",C13="Credit"),Trade_Inputs!H13*I13,Trade_Inputs!H13)</f>
        <v>10000000</v>
      </c>
      <c r="K13" s="33">
        <f>IF(F13="Option",(LN(Trade_Inputs!K13/Trade_Inputs!L13)+0.5*Trade_Inputs!M13^2*Trade_Inputs!J13)/(Trade_Inputs!M13*SQRT(Trade_Inputs!J13)),"")</f>
        <v>0.31678885844586224</v>
      </c>
      <c r="L13" s="33">
        <f t="shared" si="0"/>
        <v>-0.37570190940590609</v>
      </c>
      <c r="M13" s="33">
        <f>SQRT(MIN(MAX(H13,Supervisory_Params!$B$25/Supervisory_Params!$B$26),1))</f>
        <v>1</v>
      </c>
      <c r="N13" s="33">
        <f>Supervisory_Params!$B$28</f>
        <v>0.30000000000000004</v>
      </c>
      <c r="O13" s="34">
        <f t="shared" si="1"/>
        <v>-3757019.0940590608</v>
      </c>
      <c r="P13" s="34">
        <f t="shared" si="2"/>
        <v>-1127105.7282177184</v>
      </c>
      <c r="Q13" s="35">
        <f>INDEX(Supervisory_Params!$D$5:$D$13,MATCH(C13&amp;"|"&amp;Trade_Inputs!O13,Supervisory_Params!$C$5:$C$13,0))</f>
        <v>0.2</v>
      </c>
      <c r="R13" s="36">
        <f>IF(OR(C13="IR",C13="FX"),0,IF(C13="Commodity",Supervisory_Params!$B$23,IF(ISNUMBER(SEARCH("Index",Trade_Inputs!O13)),Supervisory_Params!$B$22,Supervisory_Params!$B$21)))</f>
        <v>0.8</v>
      </c>
    </row>
    <row r="14" spans="1:18" x14ac:dyDescent="0.35">
      <c r="A14" s="31" t="str">
        <f>Trade_Inputs!A14</f>
        <v>COMDTY-OIL-1Y</v>
      </c>
      <c r="B14" s="31" t="str">
        <f>Trade_Inputs!B14</f>
        <v>NS-A</v>
      </c>
      <c r="C14" s="31" t="str">
        <f>Trade_Inputs!C14</f>
        <v>Commodity</v>
      </c>
      <c r="D14" s="31" t="str">
        <f>Trade_Inputs!D14</f>
        <v>Oil_Gas</v>
      </c>
      <c r="E14" s="31" t="str">
        <f>Trade_Inputs!E14</f>
        <v>Long</v>
      </c>
      <c r="F14" s="31" t="str">
        <f>Trade_Inputs!F14</f>
        <v>Linear</v>
      </c>
      <c r="G14" s="31" t="str">
        <f>Trade_Inputs!G14</f>
        <v>NA</v>
      </c>
      <c r="H14" s="32">
        <f>Trade_Inputs!J14</f>
        <v>1</v>
      </c>
      <c r="I14" s="33" t="str">
        <f>IF(OR(C14="IR",C14="Credit"),(EXP(-0.05*Trade_Inputs!I14)-EXP(-0.05*Trade_Inputs!J14))/0.05,"")</f>
        <v/>
      </c>
      <c r="J14" s="34">
        <f>IF(OR(C14="IR",C14="Credit"),Trade_Inputs!H14*I14,Trade_Inputs!H14)</f>
        <v>5000000</v>
      </c>
      <c r="K14" s="33" t="str">
        <f>IF(F14="Option",(LN(Trade_Inputs!K14/Trade_Inputs!L14)+0.5*Trade_Inputs!M14^2*Trade_Inputs!J14)/(Trade_Inputs!M14*SQRT(Trade_Inputs!J14)),"")</f>
        <v/>
      </c>
      <c r="L14" s="33">
        <f t="shared" si="0"/>
        <v>1</v>
      </c>
      <c r="M14" s="33">
        <f>SQRT(MIN(MAX(H14,Supervisory_Params!$B$25/Supervisory_Params!$B$26),1))</f>
        <v>1</v>
      </c>
      <c r="N14" s="33">
        <f>Supervisory_Params!$B$28</f>
        <v>0.30000000000000004</v>
      </c>
      <c r="O14" s="34">
        <f t="shared" si="1"/>
        <v>5000000</v>
      </c>
      <c r="P14" s="34">
        <f t="shared" si="2"/>
        <v>1500000.0000000002</v>
      </c>
      <c r="Q14" s="35">
        <f>INDEX(Supervisory_Params!$D$5:$D$13,MATCH(C14&amp;"|"&amp;Trade_Inputs!O14,Supervisory_Params!$C$5:$C$13,0))</f>
        <v>0.18</v>
      </c>
      <c r="R14" s="36">
        <f>IF(OR(C14="IR",C14="FX"),0,IF(C14="Commodity",Supervisory_Params!$B$23,IF(ISNUMBER(SEARCH("Index",Trade_Inputs!O14)),Supervisory_Params!$B$22,Supervisory_Params!$B$21)))</f>
        <v>0.4</v>
      </c>
    </row>
    <row r="15" spans="1:18" x14ac:dyDescent="0.35">
      <c r="A15" s="31" t="str">
        <f>Trade_Inputs!A15</f>
        <v>COMDTY-GOLD-2Y</v>
      </c>
      <c r="B15" s="31" t="str">
        <f>Trade_Inputs!B15</f>
        <v>NS-A</v>
      </c>
      <c r="C15" s="31" t="str">
        <f>Trade_Inputs!C15</f>
        <v>Commodity</v>
      </c>
      <c r="D15" s="31" t="str">
        <f>Trade_Inputs!D15</f>
        <v>Metal</v>
      </c>
      <c r="E15" s="31" t="str">
        <f>Trade_Inputs!E15</f>
        <v>Short</v>
      </c>
      <c r="F15" s="31" t="str">
        <f>Trade_Inputs!F15</f>
        <v>Linear</v>
      </c>
      <c r="G15" s="31" t="str">
        <f>Trade_Inputs!G15</f>
        <v>NA</v>
      </c>
      <c r="H15" s="32">
        <f>Trade_Inputs!J15</f>
        <v>2</v>
      </c>
      <c r="I15" s="33" t="str">
        <f>IF(OR(C15="IR",C15="Credit"),(EXP(-0.05*Trade_Inputs!I15)-EXP(-0.05*Trade_Inputs!J15))/0.05,"")</f>
        <v/>
      </c>
      <c r="J15" s="34">
        <f>IF(OR(C15="IR",C15="Credit"),Trade_Inputs!H15*I15,Trade_Inputs!H15)</f>
        <v>4000000</v>
      </c>
      <c r="K15" s="33" t="str">
        <f>IF(F15="Option",(LN(Trade_Inputs!K15/Trade_Inputs!L15)+0.5*Trade_Inputs!M15^2*Trade_Inputs!J15)/(Trade_Inputs!M15*SQRT(Trade_Inputs!J15)),"")</f>
        <v/>
      </c>
      <c r="L15" s="33">
        <f t="shared" si="0"/>
        <v>-1</v>
      </c>
      <c r="M15" s="33">
        <f>SQRT(MIN(MAX(H15,Supervisory_Params!$B$25/Supervisory_Params!$B$26),1))</f>
        <v>1</v>
      </c>
      <c r="N15" s="33">
        <f>Supervisory_Params!$B$28</f>
        <v>0.30000000000000004</v>
      </c>
      <c r="O15" s="34">
        <f t="shared" si="1"/>
        <v>-4000000</v>
      </c>
      <c r="P15" s="34">
        <f t="shared" si="2"/>
        <v>-1200000.0000000002</v>
      </c>
      <c r="Q15" s="35">
        <f>INDEX(Supervisory_Params!$D$5:$D$13,MATCH(C15&amp;"|"&amp;Trade_Inputs!O15,Supervisory_Params!$C$5:$C$13,0))</f>
        <v>0.18</v>
      </c>
      <c r="R15" s="36">
        <f>IF(OR(C15="IR",C15="FX"),0,IF(C15="Commodity",Supervisory_Params!$B$23,IF(ISNUMBER(SEARCH("Index",Trade_Inputs!O15)),Supervisory_Params!$B$22,Supervisory_Params!$B$21)))</f>
        <v>0.4</v>
      </c>
    </row>
    <row r="16" spans="1:18" x14ac:dyDescent="0.35">
      <c r="A16" s="37" t="str">
        <f>Trade_Inputs!A16</f>
        <v>IRS-USD-10Y</v>
      </c>
      <c r="B16" s="37" t="str">
        <f>Trade_Inputs!B16</f>
        <v>NS-B</v>
      </c>
      <c r="C16" s="37" t="str">
        <f>Trade_Inputs!C16</f>
        <v>IR</v>
      </c>
      <c r="D16" s="37" t="str">
        <f>Trade_Inputs!D16</f>
        <v>USD</v>
      </c>
      <c r="E16" s="37" t="str">
        <f>Trade_Inputs!E16</f>
        <v>Long</v>
      </c>
      <c r="F16" s="37" t="str">
        <f>Trade_Inputs!F16</f>
        <v>Linear</v>
      </c>
      <c r="G16" s="37" t="str">
        <f>Trade_Inputs!G16</f>
        <v>NA</v>
      </c>
      <c r="H16" s="38">
        <f>Trade_Inputs!J16</f>
        <v>10</v>
      </c>
      <c r="I16" s="39">
        <f>IF(OR(C16="IR",C16="Credit"),(EXP(-0.05*Trade_Inputs!I16)-EXP(-0.05*Trade_Inputs!J16))/0.05,"")</f>
        <v>7.8693868057473315</v>
      </c>
      <c r="J16" s="40">
        <f>IF(OR(C16="IR",C16="Credit"),Trade_Inputs!H16*I16,Trade_Inputs!H16)</f>
        <v>314775472.22989327</v>
      </c>
      <c r="K16" s="39" t="str">
        <f>IF(F16="Option",(LN(Trade_Inputs!K16/Trade_Inputs!L16)+0.5*Trade_Inputs!M16^2*Trade_Inputs!J16)/(Trade_Inputs!M16*SQRT(Trade_Inputs!J16)),"")</f>
        <v/>
      </c>
      <c r="L16" s="39">
        <f t="shared" si="0"/>
        <v>1</v>
      </c>
      <c r="M16" s="39">
        <f>SQRT(MIN(MAX(H16,Supervisory_Params!$B$25/Supervisory_Params!$B$26),1))</f>
        <v>1</v>
      </c>
      <c r="N16" s="39">
        <f>Supervisory_Params!$B$28</f>
        <v>0.30000000000000004</v>
      </c>
      <c r="O16" s="40">
        <f t="shared" si="1"/>
        <v>314775472.22989327</v>
      </c>
      <c r="P16" s="40">
        <f t="shared" si="2"/>
        <v>94432641.668967992</v>
      </c>
      <c r="Q16" s="41">
        <f>INDEX(Supervisory_Params!$D$5:$D$13,MATCH(C16&amp;"|"&amp;Trade_Inputs!O16,Supervisory_Params!$C$5:$C$13,0))</f>
        <v>5.0000000000000001E-3</v>
      </c>
      <c r="R16" s="42">
        <f>IF(OR(C16="IR",C16="FX"),0,IF(C16="Commodity",Supervisory_Params!$B$23,IF(ISNUMBER(SEARCH("Index",Trade_Inputs!O16)),Supervisory_Params!$B$22,Supervisory_Params!$B$21)))</f>
        <v>0</v>
      </c>
    </row>
    <row r="17" spans="1:18" x14ac:dyDescent="0.35">
      <c r="A17" s="37" t="str">
        <f>Trade_Inputs!A17</f>
        <v>IRS-USD-3Y</v>
      </c>
      <c r="B17" s="37" t="str">
        <f>Trade_Inputs!B17</f>
        <v>NS-B</v>
      </c>
      <c r="C17" s="37" t="str">
        <f>Trade_Inputs!C17</f>
        <v>IR</v>
      </c>
      <c r="D17" s="37" t="str">
        <f>Trade_Inputs!D17</f>
        <v>USD</v>
      </c>
      <c r="E17" s="37" t="str">
        <f>Trade_Inputs!E17</f>
        <v>Short</v>
      </c>
      <c r="F17" s="37" t="str">
        <f>Trade_Inputs!F17</f>
        <v>Linear</v>
      </c>
      <c r="G17" s="37" t="str">
        <f>Trade_Inputs!G17</f>
        <v>NA</v>
      </c>
      <c r="H17" s="38">
        <f>Trade_Inputs!J17</f>
        <v>3</v>
      </c>
      <c r="I17" s="39">
        <f>IF(OR(C17="IR",C17="Credit"),(EXP(-0.05*Trade_Inputs!I17)-EXP(-0.05*Trade_Inputs!J17))/0.05,"")</f>
        <v>2.7858404714988438</v>
      </c>
      <c r="J17" s="40">
        <f>IF(OR(C17="IR",C17="Credit"),Trade_Inputs!H17*I17,Trade_Inputs!H17)</f>
        <v>69646011.787471101</v>
      </c>
      <c r="K17" s="39" t="str">
        <f>IF(F17="Option",(LN(Trade_Inputs!K17/Trade_Inputs!L17)+0.5*Trade_Inputs!M17^2*Trade_Inputs!J17)/(Trade_Inputs!M17*SQRT(Trade_Inputs!J17)),"")</f>
        <v/>
      </c>
      <c r="L17" s="39">
        <f t="shared" si="0"/>
        <v>-1</v>
      </c>
      <c r="M17" s="39">
        <f>SQRT(MIN(MAX(H17,Supervisory_Params!$B$25/Supervisory_Params!$B$26),1))</f>
        <v>1</v>
      </c>
      <c r="N17" s="39">
        <f>Supervisory_Params!$B$28</f>
        <v>0.30000000000000004</v>
      </c>
      <c r="O17" s="40">
        <f t="shared" si="1"/>
        <v>-69646011.787471101</v>
      </c>
      <c r="P17" s="40">
        <f t="shared" si="2"/>
        <v>-20893803.536241334</v>
      </c>
      <c r="Q17" s="41">
        <f>INDEX(Supervisory_Params!$D$5:$D$13,MATCH(C17&amp;"|"&amp;Trade_Inputs!O17,Supervisory_Params!$C$5:$C$13,0))</f>
        <v>5.0000000000000001E-3</v>
      </c>
      <c r="R17" s="42">
        <f>IF(OR(C17="IR",C17="FX"),0,IF(C17="Commodity",Supervisory_Params!$B$23,IF(ISNUMBER(SEARCH("Index",Trade_Inputs!O17)),Supervisory_Params!$B$22,Supervisory_Params!$B$21)))</f>
        <v>0</v>
      </c>
    </row>
    <row r="18" spans="1:18" x14ac:dyDescent="0.35">
      <c r="A18" s="37" t="str">
        <f>Trade_Inputs!A18</f>
        <v>FXFWD-EURUSD-2Y</v>
      </c>
      <c r="B18" s="37" t="str">
        <f>Trade_Inputs!B18</f>
        <v>NS-B</v>
      </c>
      <c r="C18" s="37" t="str">
        <f>Trade_Inputs!C18</f>
        <v>FX</v>
      </c>
      <c r="D18" s="37" t="str">
        <f>Trade_Inputs!D18</f>
        <v>EURUSD</v>
      </c>
      <c r="E18" s="37" t="str">
        <f>Trade_Inputs!E18</f>
        <v>Long</v>
      </c>
      <c r="F18" s="37" t="str">
        <f>Trade_Inputs!F18</f>
        <v>Linear</v>
      </c>
      <c r="G18" s="37" t="str">
        <f>Trade_Inputs!G18</f>
        <v>NA</v>
      </c>
      <c r="H18" s="38">
        <f>Trade_Inputs!J18</f>
        <v>2</v>
      </c>
      <c r="I18" s="39" t="str">
        <f>IF(OR(C18="IR",C18="Credit"),(EXP(-0.05*Trade_Inputs!I18)-EXP(-0.05*Trade_Inputs!J18))/0.05,"")</f>
        <v/>
      </c>
      <c r="J18" s="40">
        <f>IF(OR(C18="IR",C18="Credit"),Trade_Inputs!H18*I18,Trade_Inputs!H18)</f>
        <v>18000000</v>
      </c>
      <c r="K18" s="39" t="str">
        <f>IF(F18="Option",(LN(Trade_Inputs!K18/Trade_Inputs!L18)+0.5*Trade_Inputs!M18^2*Trade_Inputs!J18)/(Trade_Inputs!M18*SQRT(Trade_Inputs!J18)),"")</f>
        <v/>
      </c>
      <c r="L18" s="39">
        <f t="shared" si="0"/>
        <v>1</v>
      </c>
      <c r="M18" s="39">
        <f>SQRT(MIN(MAX(H18,Supervisory_Params!$B$25/Supervisory_Params!$B$26),1))</f>
        <v>1</v>
      </c>
      <c r="N18" s="39">
        <f>Supervisory_Params!$B$28</f>
        <v>0.30000000000000004</v>
      </c>
      <c r="O18" s="40">
        <f t="shared" si="1"/>
        <v>18000000</v>
      </c>
      <c r="P18" s="40">
        <f t="shared" si="2"/>
        <v>5400000.0000000009</v>
      </c>
      <c r="Q18" s="41">
        <f>INDEX(Supervisory_Params!$D$5:$D$13,MATCH(C18&amp;"|"&amp;Trade_Inputs!O18,Supervisory_Params!$C$5:$C$13,0))</f>
        <v>0.04</v>
      </c>
      <c r="R18" s="42">
        <f>IF(OR(C18="IR",C18="FX"),0,IF(C18="Commodity",Supervisory_Params!$B$23,IF(ISNUMBER(SEARCH("Index",Trade_Inputs!O18)),Supervisory_Params!$B$22,Supervisory_Params!$B$21)))</f>
        <v>0</v>
      </c>
    </row>
    <row r="19" spans="1:18" x14ac:dyDescent="0.35">
      <c r="A19" s="37" t="str">
        <f>Trade_Inputs!A19</f>
        <v>FXFWD-USDJPY-1Y</v>
      </c>
      <c r="B19" s="37" t="str">
        <f>Trade_Inputs!B19</f>
        <v>NS-B</v>
      </c>
      <c r="C19" s="37" t="str">
        <f>Trade_Inputs!C19</f>
        <v>FX</v>
      </c>
      <c r="D19" s="37" t="str">
        <f>Trade_Inputs!D19</f>
        <v>USDJPY</v>
      </c>
      <c r="E19" s="37" t="str">
        <f>Trade_Inputs!E19</f>
        <v>Short</v>
      </c>
      <c r="F19" s="37" t="str">
        <f>Trade_Inputs!F19</f>
        <v>Linear</v>
      </c>
      <c r="G19" s="37" t="str">
        <f>Trade_Inputs!G19</f>
        <v>NA</v>
      </c>
      <c r="H19" s="38">
        <f>Trade_Inputs!J19</f>
        <v>1</v>
      </c>
      <c r="I19" s="39" t="str">
        <f>IF(OR(C19="IR",C19="Credit"),(EXP(-0.05*Trade_Inputs!I19)-EXP(-0.05*Trade_Inputs!J19))/0.05,"")</f>
        <v/>
      </c>
      <c r="J19" s="40">
        <f>IF(OR(C19="IR",C19="Credit"),Trade_Inputs!H19*I19,Trade_Inputs!H19)</f>
        <v>12000000</v>
      </c>
      <c r="K19" s="39" t="str">
        <f>IF(F19="Option",(LN(Trade_Inputs!K19/Trade_Inputs!L19)+0.5*Trade_Inputs!M19^2*Trade_Inputs!J19)/(Trade_Inputs!M19*SQRT(Trade_Inputs!J19)),"")</f>
        <v/>
      </c>
      <c r="L19" s="39">
        <f t="shared" si="0"/>
        <v>-1</v>
      </c>
      <c r="M19" s="39">
        <f>SQRT(MIN(MAX(H19,Supervisory_Params!$B$25/Supervisory_Params!$B$26),1))</f>
        <v>1</v>
      </c>
      <c r="N19" s="39">
        <f>Supervisory_Params!$B$28</f>
        <v>0.30000000000000004</v>
      </c>
      <c r="O19" s="40">
        <f t="shared" si="1"/>
        <v>-12000000</v>
      </c>
      <c r="P19" s="40">
        <f t="shared" si="2"/>
        <v>-3600000.0000000005</v>
      </c>
      <c r="Q19" s="41">
        <f>INDEX(Supervisory_Params!$D$5:$D$13,MATCH(C19&amp;"|"&amp;Trade_Inputs!O19,Supervisory_Params!$C$5:$C$13,0))</f>
        <v>0.04</v>
      </c>
      <c r="R19" s="42">
        <f>IF(OR(C19="IR",C19="FX"),0,IF(C19="Commodity",Supervisory_Params!$B$23,IF(ISNUMBER(SEARCH("Index",Trade_Inputs!O19)),Supervisory_Params!$B$22,Supervisory_Params!$B$21)))</f>
        <v>0</v>
      </c>
    </row>
    <row r="20" spans="1:18" x14ac:dyDescent="0.35">
      <c r="A20" s="37" t="str">
        <f>Trade_Inputs!A20</f>
        <v>CDS-IDX-SUBIG-4Y</v>
      </c>
      <c r="B20" s="37" t="str">
        <f>Trade_Inputs!B20</f>
        <v>NS-B</v>
      </c>
      <c r="C20" s="37" t="str">
        <f>Trade_Inputs!C20</f>
        <v>Credit</v>
      </c>
      <c r="D20" s="37" t="str">
        <f>Trade_Inputs!D20</f>
        <v>CDX_HY</v>
      </c>
      <c r="E20" s="37" t="str">
        <f>Trade_Inputs!E20</f>
        <v>Long</v>
      </c>
      <c r="F20" s="37" t="str">
        <f>Trade_Inputs!F20</f>
        <v>Linear</v>
      </c>
      <c r="G20" s="37" t="str">
        <f>Trade_Inputs!G20</f>
        <v>NA</v>
      </c>
      <c r="H20" s="38">
        <f>Trade_Inputs!J20</f>
        <v>4</v>
      </c>
      <c r="I20" s="39">
        <f>IF(OR(C20="IR",C20="Credit"),(EXP(-0.05*Trade_Inputs!I20)-EXP(-0.05*Trade_Inputs!J20))/0.05,"")</f>
        <v>3.6253849384403636</v>
      </c>
      <c r="J20" s="40">
        <f>IF(OR(C20="IR",C20="Credit"),Trade_Inputs!H20*I20,Trade_Inputs!H20)</f>
        <v>54380774.076605454</v>
      </c>
      <c r="K20" s="39" t="str">
        <f>IF(F20="Option",(LN(Trade_Inputs!K20/Trade_Inputs!L20)+0.5*Trade_Inputs!M20^2*Trade_Inputs!J20)/(Trade_Inputs!M20*SQRT(Trade_Inputs!J20)),"")</f>
        <v/>
      </c>
      <c r="L20" s="39">
        <f t="shared" si="0"/>
        <v>1</v>
      </c>
      <c r="M20" s="39">
        <f>SQRT(MIN(MAX(H20,Supervisory_Params!$B$25/Supervisory_Params!$B$26),1))</f>
        <v>1</v>
      </c>
      <c r="N20" s="39">
        <f>Supervisory_Params!$B$28</f>
        <v>0.30000000000000004</v>
      </c>
      <c r="O20" s="40">
        <f t="shared" si="1"/>
        <v>54380774.076605454</v>
      </c>
      <c r="P20" s="40">
        <f t="shared" si="2"/>
        <v>16314232.222981639</v>
      </c>
      <c r="Q20" s="41">
        <f>INDEX(Supervisory_Params!$D$5:$D$13,MATCH(C20&amp;"|"&amp;Trade_Inputs!O20,Supervisory_Params!$C$5:$C$13,0))</f>
        <v>1.06E-2</v>
      </c>
      <c r="R20" s="42">
        <f>IF(OR(C20="IR",C20="FX"),0,IF(C20="Commodity",Supervisory_Params!$B$23,IF(ISNUMBER(SEARCH("Index",Trade_Inputs!O20)),Supervisory_Params!$B$22,Supervisory_Params!$B$21)))</f>
        <v>0.8</v>
      </c>
    </row>
    <row r="21" spans="1:18" x14ac:dyDescent="0.35">
      <c r="A21" s="37" t="str">
        <f>Trade_Inputs!A21</f>
        <v>EQSWAP-IDX-SPX-3Y</v>
      </c>
      <c r="B21" s="37" t="str">
        <f>Trade_Inputs!B21</f>
        <v>NS-B</v>
      </c>
      <c r="C21" s="37" t="str">
        <f>Trade_Inputs!C21</f>
        <v>Equity</v>
      </c>
      <c r="D21" s="37" t="str">
        <f>Trade_Inputs!D21</f>
        <v>Equity_SPX</v>
      </c>
      <c r="E21" s="37" t="str">
        <f>Trade_Inputs!E21</f>
        <v>Long</v>
      </c>
      <c r="F21" s="37" t="str">
        <f>Trade_Inputs!F21</f>
        <v>Linear</v>
      </c>
      <c r="G21" s="37" t="str">
        <f>Trade_Inputs!G21</f>
        <v>NA</v>
      </c>
      <c r="H21" s="38">
        <f>Trade_Inputs!J21</f>
        <v>3</v>
      </c>
      <c r="I21" s="39" t="str">
        <f>IF(OR(C21="IR",C21="Credit"),(EXP(-0.05*Trade_Inputs!I21)-EXP(-0.05*Trade_Inputs!J21))/0.05,"")</f>
        <v/>
      </c>
      <c r="J21" s="40">
        <f>IF(OR(C21="IR",C21="Credit"),Trade_Inputs!H21*I21,Trade_Inputs!H21)</f>
        <v>20000000</v>
      </c>
      <c r="K21" s="39" t="str">
        <f>IF(F21="Option",(LN(Trade_Inputs!K21/Trade_Inputs!L21)+0.5*Trade_Inputs!M21^2*Trade_Inputs!J21)/(Trade_Inputs!M21*SQRT(Trade_Inputs!J21)),"")</f>
        <v/>
      </c>
      <c r="L21" s="39">
        <f t="shared" si="0"/>
        <v>1</v>
      </c>
      <c r="M21" s="39">
        <f>SQRT(MIN(MAX(H21,Supervisory_Params!$B$25/Supervisory_Params!$B$26),1))</f>
        <v>1</v>
      </c>
      <c r="N21" s="39">
        <f>Supervisory_Params!$B$28</f>
        <v>0.30000000000000004</v>
      </c>
      <c r="O21" s="40">
        <f t="shared" si="1"/>
        <v>20000000</v>
      </c>
      <c r="P21" s="40">
        <f t="shared" si="2"/>
        <v>6000000.0000000009</v>
      </c>
      <c r="Q21" s="41">
        <f>INDEX(Supervisory_Params!$D$5:$D$13,MATCH(C21&amp;"|"&amp;Trade_Inputs!O21,Supervisory_Params!$C$5:$C$13,0))</f>
        <v>0.2</v>
      </c>
      <c r="R21" s="42">
        <f>IF(OR(C21="IR",C21="FX"),0,IF(C21="Commodity",Supervisory_Params!$B$23,IF(ISNUMBER(SEARCH("Index",Trade_Inputs!O21)),Supervisory_Params!$B$22,Supervisory_Params!$B$21)))</f>
        <v>0.8</v>
      </c>
    </row>
  </sheetData>
  <mergeCells count="1">
    <mergeCell ref="A1:Q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5"/>
  <sheetViews>
    <sheetView showGridLines="0" zoomScaleNormal="100" workbookViewId="0">
      <selection sqref="A1:G1"/>
    </sheetView>
  </sheetViews>
  <sheetFormatPr defaultColWidth="8.6328125" defaultRowHeight="14.5" x14ac:dyDescent="0.35"/>
  <cols>
    <col min="1" max="1" width="42" customWidth="1"/>
    <col min="2" max="6" width="16" customWidth="1"/>
    <col min="7" max="7" width="40" customWidth="1"/>
  </cols>
  <sheetData>
    <row r="1" spans="1:7" ht="21.75" customHeight="1" x14ac:dyDescent="0.4">
      <c r="A1" s="2" t="s">
        <v>147</v>
      </c>
      <c r="B1" s="2"/>
      <c r="C1" s="2"/>
      <c r="D1" s="2"/>
      <c r="E1" s="2"/>
      <c r="F1" s="2"/>
      <c r="G1" s="2"/>
    </row>
    <row r="3" spans="1:7" x14ac:dyDescent="0.35">
      <c r="A3" s="1" t="s">
        <v>148</v>
      </c>
      <c r="B3" s="1"/>
      <c r="C3" s="1"/>
      <c r="D3" s="1"/>
      <c r="E3" s="1"/>
      <c r="F3" s="1"/>
      <c r="G3" s="1"/>
    </row>
    <row r="4" spans="1:7" x14ac:dyDescent="0.35">
      <c r="A4" s="17" t="s">
        <v>149</v>
      </c>
      <c r="B4" s="43">
        <f>SUMIF(Calc_Engine!$B$4:$B$21,"NS-A",Trade_Inputs!$N$4:$N$21)</f>
        <v>475000</v>
      </c>
    </row>
    <row r="5" spans="1:7" x14ac:dyDescent="0.35">
      <c r="A5" s="9" t="s">
        <v>150</v>
      </c>
      <c r="B5" s="44">
        <v>0</v>
      </c>
    </row>
    <row r="6" spans="1:7" x14ac:dyDescent="0.35">
      <c r="A6" s="9" t="s">
        <v>151</v>
      </c>
      <c r="B6" s="44">
        <v>0</v>
      </c>
    </row>
    <row r="7" spans="1:7" x14ac:dyDescent="0.35">
      <c r="A7" s="9" t="s">
        <v>152</v>
      </c>
      <c r="B7" s="44">
        <v>0</v>
      </c>
    </row>
    <row r="8" spans="1:7" x14ac:dyDescent="0.35">
      <c r="A8" s="9" t="s">
        <v>153</v>
      </c>
      <c r="B8" s="44">
        <v>0</v>
      </c>
    </row>
    <row r="9" spans="1:7" x14ac:dyDescent="0.35">
      <c r="A9" s="45" t="s">
        <v>154</v>
      </c>
      <c r="B9" s="46"/>
      <c r="C9" s="46"/>
      <c r="D9" s="46"/>
      <c r="E9" s="46"/>
      <c r="F9" s="46"/>
      <c r="G9" s="46"/>
    </row>
    <row r="10" spans="1:7" x14ac:dyDescent="0.35">
      <c r="A10" s="7" t="s">
        <v>155</v>
      </c>
      <c r="B10" s="7" t="s">
        <v>156</v>
      </c>
      <c r="C10" s="7" t="s">
        <v>157</v>
      </c>
      <c r="D10" s="7" t="s">
        <v>158</v>
      </c>
      <c r="E10" s="7" t="s">
        <v>159</v>
      </c>
      <c r="F10" s="7" t="s">
        <v>160</v>
      </c>
    </row>
    <row r="11" spans="1:7" x14ac:dyDescent="0.35">
      <c r="A11" s="47" t="s">
        <v>99</v>
      </c>
      <c r="B11" s="34">
        <f>SUMPRODUCT((Calc_Engine!$B$4:$B$21="NS-A")*(Calc_Engine!$C$4:$C$21="IR")*(Calc_Engine!$D$4:$D$21="USD")*(Calc_Engine!$H$4:$H$21&lt;1)*Calc_Engine!$O$4:$O$21)</f>
        <v>0</v>
      </c>
      <c r="C11" s="34">
        <f>SUMPRODUCT((Calc_Engine!$B$4:$B$21="NS-A")*(Calc_Engine!$C$4:$C$21="IR")*(Calc_Engine!$D$4:$D$21="USD")*(Calc_Engine!$H$4:$H$21&gt;=1)*(Calc_Engine!$H$4:$H$21&lt;=5)*Calc_Engine!$O$4:$O$21)</f>
        <v>164101667.7501708</v>
      </c>
      <c r="D11" s="34">
        <f>SUMPRODUCT((Calc_Engine!$B$4:$B$21="NS-A")*(Calc_Engine!$C$4:$C$21="IR")*(Calc_Engine!$D$4:$D$21="USD")*(Calc_Engine!$H$4:$H$21&gt;5)*Calc_Engine!$O$4:$O$21)</f>
        <v>0</v>
      </c>
      <c r="E11" s="34">
        <f>SQRT(B11^2+C11^2+D11^2+1.4*B11*C11+1.4*C11*D11+0.6*B11*D11)</f>
        <v>164101667.7501708</v>
      </c>
      <c r="F11" s="34">
        <f>INDEX(Supervisory_Params!$D$5:$D$13,MATCH("IR|NA",Supervisory_Params!$C$5:$C$13,0))*E11</f>
        <v>820508.33875085402</v>
      </c>
    </row>
    <row r="12" spans="1:7" x14ac:dyDescent="0.35">
      <c r="A12" s="47" t="s">
        <v>105</v>
      </c>
      <c r="B12" s="34">
        <f>SUMPRODUCT((Calc_Engine!$B$4:$B$21="NS-A")*(Calc_Engine!$C$4:$C$21="IR")*(Calc_Engine!$D$4:$D$21="EUR")*(Calc_Engine!$H$4:$H$21&lt;1)*Calc_Engine!$O$4:$O$21)</f>
        <v>0</v>
      </c>
      <c r="C12" s="34">
        <f>SUMPRODUCT((Calc_Engine!$B$4:$B$21="NS-A")*(Calc_Engine!$C$4:$C$21="IR")*(Calc_Engine!$D$4:$D$21="EUR")*(Calc_Engine!$H$4:$H$21&gt;=1)*(Calc_Engine!$H$4:$H$21&lt;=5)*Calc_Engine!$O$4:$O$21)</f>
        <v>0</v>
      </c>
      <c r="D12" s="34">
        <f>SUMPRODUCT((Calc_Engine!$B$4:$B$21="NS-A")*(Calc_Engine!$C$4:$C$21="IR")*(Calc_Engine!$D$4:$D$21="EUR")*(Calc_Engine!$H$4:$H$21&gt;5)*Calc_Engine!$O$4:$O$21)</f>
        <v>118124764.11251462</v>
      </c>
      <c r="E12" s="34">
        <f>SQRT(B12^2+C12^2+D12^2+1.4*B12*C12+1.4*C12*D12+0.6*B12*D12)</f>
        <v>118124764.11251462</v>
      </c>
      <c r="F12" s="34">
        <f>INDEX(Supervisory_Params!$D$5:$D$13,MATCH("IR|NA",Supervisory_Params!$C$5:$C$13,0))*E12</f>
        <v>590623.82056257303</v>
      </c>
    </row>
    <row r="13" spans="1:7" x14ac:dyDescent="0.35">
      <c r="A13" s="17" t="s">
        <v>161</v>
      </c>
      <c r="B13" s="43">
        <f>$F$11+$F$12</f>
        <v>1411132.1593134271</v>
      </c>
    </row>
    <row r="14" spans="1:7" x14ac:dyDescent="0.35">
      <c r="A14" s="45" t="s">
        <v>162</v>
      </c>
      <c r="B14" s="46"/>
      <c r="C14" s="46"/>
      <c r="D14" s="46"/>
      <c r="E14" s="46"/>
      <c r="F14" s="46"/>
      <c r="G14" s="46"/>
    </row>
    <row r="15" spans="1:7" x14ac:dyDescent="0.35">
      <c r="A15" s="47" t="s">
        <v>163</v>
      </c>
      <c r="B15" s="34">
        <f>ABS(SUMPRODUCT((Calc_Engine!$B$4:$B$21="NS-A")*(Calc_Engine!$C$4:$C$21="FX")*(Calc_Engine!$D$4:$D$21="EURUSD")*Calc_Engine!$O$4:$O$21))*INDEX(Supervisory_Params!$D$5:$D$13,MATCH("FX|NA",Supervisory_Params!$C$5:$C$13,0))</f>
        <v>600000</v>
      </c>
    </row>
    <row r="16" spans="1:7" x14ac:dyDescent="0.35">
      <c r="A16" s="47" t="s">
        <v>164</v>
      </c>
      <c r="B16" s="34">
        <f>ABS(SUMPRODUCT((Calc_Engine!$B$4:$B$21="NS-A")*(Calc_Engine!$C$4:$C$21="FX")*(Calc_Engine!$D$4:$D$21="GBPUSD")*Calc_Engine!$O$4:$O$21))*INDEX(Supervisory_Params!$D$5:$D$13,MATCH("FX|NA",Supervisory_Params!$C$5:$C$13,0))</f>
        <v>282842.71247461904</v>
      </c>
    </row>
    <row r="17" spans="1:7" x14ac:dyDescent="0.35">
      <c r="A17" s="47" t="s">
        <v>165</v>
      </c>
      <c r="B17" s="34">
        <f>ABS(SUMPRODUCT((Calc_Engine!$B$4:$B$21="NS-A")*(Calc_Engine!$C$4:$C$21="FX")*(Calc_Engine!$D$4:$D$21="USDJPY")*Calc_Engine!$O$4:$O$21))*INDEX(Supervisory_Params!$D$5:$D$13,MATCH("FX|NA",Supervisory_Params!$C$5:$C$13,0))</f>
        <v>126466.55557769565</v>
      </c>
    </row>
    <row r="18" spans="1:7" x14ac:dyDescent="0.35">
      <c r="A18" s="17" t="s">
        <v>166</v>
      </c>
      <c r="B18" s="43">
        <f>$B$15+$B$16+$B$17</f>
        <v>1009309.2680523146</v>
      </c>
    </row>
    <row r="19" spans="1:7" x14ac:dyDescent="0.35">
      <c r="A19" s="45" t="s">
        <v>43</v>
      </c>
      <c r="B19" s="46"/>
      <c r="C19" s="46"/>
      <c r="D19" s="46"/>
      <c r="E19" s="46"/>
      <c r="F19" s="46"/>
      <c r="G19" s="46"/>
    </row>
    <row r="20" spans="1:7" x14ac:dyDescent="0.35">
      <c r="A20" s="9" t="s">
        <v>167</v>
      </c>
      <c r="B20" s="34">
        <f>SUMPRODUCT((Calc_Engine!$B$4:$B$21="NS-A")*(Calc_Engine!$C$4:$C$21="Credit")*Calc_Engine!$R$4:$R$21*Calc_Engine!$Q$4:$Q$21*Calc_Engine!$O$4:$O$21)</f>
        <v>-245961.57845490199</v>
      </c>
    </row>
    <row r="21" spans="1:7" x14ac:dyDescent="0.35">
      <c r="A21" s="9" t="s">
        <v>168</v>
      </c>
      <c r="B21" s="34">
        <f>SUMPRODUCT((Calc_Engine!$B$4:$B$21="NS-A")*(Calc_Engine!$C$4:$C$21="Credit")*(1-Calc_Engine!$R$4:$R$21^2)*(Calc_Engine!$Q$4:$Q$21*Calc_Engine!$O$4:$O$21)^2)</f>
        <v>88029519618.026169</v>
      </c>
    </row>
    <row r="22" spans="1:7" x14ac:dyDescent="0.35">
      <c r="A22" s="17" t="s">
        <v>169</v>
      </c>
      <c r="B22" s="48">
        <f>SQRT($B$20^2+$B$21)</f>
        <v>385391.51222367765</v>
      </c>
    </row>
    <row r="23" spans="1:7" x14ac:dyDescent="0.35">
      <c r="A23" s="45" t="s">
        <v>50</v>
      </c>
      <c r="B23" s="46"/>
      <c r="C23" s="46"/>
      <c r="D23" s="46"/>
      <c r="E23" s="46"/>
      <c r="F23" s="46"/>
      <c r="G23" s="46"/>
    </row>
    <row r="24" spans="1:7" x14ac:dyDescent="0.35">
      <c r="A24" s="9" t="s">
        <v>167</v>
      </c>
      <c r="B24" s="34">
        <f>SUMPRODUCT((Calc_Engine!$B$4:$B$21="NS-A")*(Calc_Engine!$C$4:$C$21="Equity")*Calc_Engine!$R$4:$R$21*Calc_Engine!$Q$4:$Q$21*Calc_Engine!$O$4:$O$21)</f>
        <v>358876.94495055021</v>
      </c>
    </row>
    <row r="25" spans="1:7" x14ac:dyDescent="0.35">
      <c r="A25" s="9" t="s">
        <v>168</v>
      </c>
      <c r="B25" s="34">
        <f>SUMPRODUCT((Calc_Engine!$B$4:$B$21="NS-A")*(Calc_Engine!$C$4:$C$21="Equity")*(1-Calc_Engine!$R$4:$R$21^2)*(Calc_Engine!$Q$4:$Q$21*Calc_Engine!$O$4:$O$21)^2)</f>
        <v>2968058771612.9907</v>
      </c>
    </row>
    <row r="26" spans="1:7" x14ac:dyDescent="0.35">
      <c r="A26" s="17" t="s">
        <v>170</v>
      </c>
      <c r="B26" s="48">
        <f>SQRT($B$24^2+$B$25)</f>
        <v>1759787.3261363234</v>
      </c>
    </row>
    <row r="27" spans="1:7" x14ac:dyDescent="0.35">
      <c r="A27" s="45" t="s">
        <v>55</v>
      </c>
      <c r="B27" s="46"/>
      <c r="C27" s="46"/>
      <c r="D27" s="46"/>
      <c r="E27" s="46"/>
      <c r="F27" s="46"/>
      <c r="G27" s="46"/>
    </row>
    <row r="28" spans="1:7" x14ac:dyDescent="0.35">
      <c r="A28" s="9" t="s">
        <v>167</v>
      </c>
      <c r="B28" s="34">
        <f>SUMPRODUCT((Calc_Engine!$B$4:$B$21="NS-A")*(Calc_Engine!$C$4:$C$21="Commodity")*Calc_Engine!$R$4:$R$21*Calc_Engine!$Q$4:$Q$21*Calc_Engine!$O$4:$O$21)</f>
        <v>72000</v>
      </c>
    </row>
    <row r="29" spans="1:7" x14ac:dyDescent="0.35">
      <c r="A29" s="9" t="s">
        <v>168</v>
      </c>
      <c r="B29" s="34">
        <f>SUMPRODUCT((Calc_Engine!$B$4:$B$21="NS-A")*(Calc_Engine!$C$4:$C$21="Commodity")*(1-Calc_Engine!$R$4:$R$21^2)*(Calc_Engine!$Q$4:$Q$21*Calc_Engine!$O$4:$O$21)^2)</f>
        <v>1115856000000</v>
      </c>
    </row>
    <row r="30" spans="1:7" x14ac:dyDescent="0.35">
      <c r="A30" s="17" t="s">
        <v>171</v>
      </c>
      <c r="B30" s="48">
        <f>SQRT($B$28^2+$B$29)</f>
        <v>1058791.7642293975</v>
      </c>
    </row>
    <row r="31" spans="1:7" x14ac:dyDescent="0.35">
      <c r="A31" s="49" t="s">
        <v>172</v>
      </c>
      <c r="B31" s="50">
        <f>$B$13+$B$18+$B$22+$B$26+$B$30</f>
        <v>5624412.0299551403</v>
      </c>
    </row>
    <row r="32" spans="1:7" x14ac:dyDescent="0.35">
      <c r="A32" s="9" t="s">
        <v>173</v>
      </c>
      <c r="B32" s="18">
        <f>IF($B$31=0,1,MIN(1,Supervisory_Params!$B$18+(1-Supervisory_Params!$B$18)*EXP(($B$4-$B$5)/(2*(1-Supervisory_Params!$B$18)*$B$31))))</f>
        <v>1</v>
      </c>
    </row>
    <row r="33" spans="1:7" x14ac:dyDescent="0.35">
      <c r="A33" s="9" t="s">
        <v>174</v>
      </c>
      <c r="B33" s="51">
        <f>$B$32*$B$31</f>
        <v>5624412.0299551403</v>
      </c>
    </row>
    <row r="34" spans="1:7" x14ac:dyDescent="0.35">
      <c r="A34" s="9" t="s">
        <v>175</v>
      </c>
      <c r="B34" s="51">
        <f>MAX($B$4-$B$5,0)</f>
        <v>475000</v>
      </c>
    </row>
    <row r="35" spans="1:7" x14ac:dyDescent="0.35">
      <c r="A35" s="52" t="s">
        <v>176</v>
      </c>
      <c r="B35" s="53">
        <f>Supervisory_Params!$B$17*($B$34+$B$33)</f>
        <v>8539176.8419371955</v>
      </c>
    </row>
    <row r="37" spans="1:7" x14ac:dyDescent="0.35">
      <c r="A37" s="1" t="s">
        <v>177</v>
      </c>
      <c r="B37" s="1"/>
      <c r="C37" s="1"/>
      <c r="D37" s="1"/>
      <c r="E37" s="1"/>
      <c r="F37" s="1"/>
      <c r="G37" s="1"/>
    </row>
    <row r="38" spans="1:7" x14ac:dyDescent="0.35">
      <c r="A38" s="17" t="s">
        <v>149</v>
      </c>
      <c r="B38" s="43">
        <f>SUMIF(Calc_Engine!$B$4:$B$21,"NS-A",Trade_Inputs!$N$4:$N$21)</f>
        <v>475000</v>
      </c>
    </row>
    <row r="39" spans="1:7" x14ac:dyDescent="0.35">
      <c r="A39" s="9" t="s">
        <v>150</v>
      </c>
      <c r="B39" s="44">
        <v>0</v>
      </c>
    </row>
    <row r="40" spans="1:7" x14ac:dyDescent="0.35">
      <c r="A40" s="9" t="s">
        <v>178</v>
      </c>
      <c r="B40" s="44">
        <v>0</v>
      </c>
    </row>
    <row r="41" spans="1:7" x14ac:dyDescent="0.35">
      <c r="A41" s="9" t="s">
        <v>179</v>
      </c>
      <c r="B41" s="44">
        <v>250000</v>
      </c>
    </row>
    <row r="42" spans="1:7" x14ac:dyDescent="0.35">
      <c r="A42" s="9" t="s">
        <v>153</v>
      </c>
      <c r="B42" s="44">
        <v>0</v>
      </c>
    </row>
    <row r="43" spans="1:7" x14ac:dyDescent="0.35">
      <c r="A43" s="45" t="s">
        <v>154</v>
      </c>
      <c r="B43" s="46"/>
      <c r="C43" s="46"/>
      <c r="D43" s="46"/>
      <c r="E43" s="46"/>
      <c r="F43" s="46"/>
      <c r="G43" s="46"/>
    </row>
    <row r="44" spans="1:7" x14ac:dyDescent="0.35">
      <c r="A44" s="7" t="s">
        <v>155</v>
      </c>
      <c r="B44" s="7" t="s">
        <v>156</v>
      </c>
      <c r="C44" s="7" t="s">
        <v>157</v>
      </c>
      <c r="D44" s="7" t="s">
        <v>158</v>
      </c>
      <c r="E44" s="7" t="s">
        <v>159</v>
      </c>
      <c r="F44" s="7" t="s">
        <v>160</v>
      </c>
    </row>
    <row r="45" spans="1:7" x14ac:dyDescent="0.35">
      <c r="A45" s="47" t="s">
        <v>99</v>
      </c>
      <c r="B45" s="34">
        <f>SUMPRODUCT((Calc_Engine!$B$4:$B$21="NS-A")*(Calc_Engine!$C$4:$C$21="IR")*(Calc_Engine!$D$4:$D$21="USD")*(Calc_Engine!$H$4:$H$21&lt;1)*Calc_Engine!$P$4:$P$21)</f>
        <v>0</v>
      </c>
      <c r="C45" s="34">
        <f>SUMPRODUCT((Calc_Engine!$B$4:$B$21="NS-A")*(Calc_Engine!$C$4:$C$21="IR")*(Calc_Engine!$D$4:$D$21="USD")*(Calc_Engine!$H$4:$H$21&gt;=1)*(Calc_Engine!$H$4:$H$21&lt;=5)*Calc_Engine!$P$4:$P$21)</f>
        <v>49230500.325051248</v>
      </c>
      <c r="D45" s="34">
        <f>SUMPRODUCT((Calc_Engine!$B$4:$B$21="NS-A")*(Calc_Engine!$C$4:$C$21="IR")*(Calc_Engine!$D$4:$D$21="USD")*(Calc_Engine!$H$4:$H$21&gt;5)*Calc_Engine!$P$4:$P$21)</f>
        <v>0</v>
      </c>
      <c r="E45" s="34">
        <f>SQRT(B45^2+C45^2+D45^2+1.4*B45*C45+1.4*C45*D45+0.6*B45*D45)</f>
        <v>49230500.325051248</v>
      </c>
      <c r="F45" s="34">
        <f>INDEX(Supervisory_Params!$D$5:$D$13,MATCH("IR|NA",Supervisory_Params!$C$5:$C$13,0))*E45</f>
        <v>246152.50162525623</v>
      </c>
    </row>
    <row r="46" spans="1:7" x14ac:dyDescent="0.35">
      <c r="A46" s="47" t="s">
        <v>105</v>
      </c>
      <c r="B46" s="34">
        <f>SUMPRODUCT((Calc_Engine!$B$4:$B$21="NS-A")*(Calc_Engine!$C$4:$C$21="IR")*(Calc_Engine!$D$4:$D$21="EUR")*(Calc_Engine!$H$4:$H$21&lt;1)*Calc_Engine!$P$4:$P$21)</f>
        <v>0</v>
      </c>
      <c r="C46" s="34">
        <f>SUMPRODUCT((Calc_Engine!$B$4:$B$21="NS-A")*(Calc_Engine!$C$4:$C$21="IR")*(Calc_Engine!$D$4:$D$21="EUR")*(Calc_Engine!$H$4:$H$21&gt;=1)*(Calc_Engine!$H$4:$H$21&lt;=5)*Calc_Engine!$P$4:$P$21)</f>
        <v>0</v>
      </c>
      <c r="D46" s="34">
        <f>SUMPRODUCT((Calc_Engine!$B$4:$B$21="NS-A")*(Calc_Engine!$C$4:$C$21="IR")*(Calc_Engine!$D$4:$D$21="EUR")*(Calc_Engine!$H$4:$H$21&gt;5)*Calc_Engine!$P$4:$P$21)</f>
        <v>35437429.233754389</v>
      </c>
      <c r="E46" s="34">
        <f>SQRT(B46^2+C46^2+D46^2+1.4*B46*C46+1.4*C46*D46+0.6*B46*D46)</f>
        <v>35437429.233754389</v>
      </c>
      <c r="F46" s="34">
        <f>INDEX(Supervisory_Params!$D$5:$D$13,MATCH("IR|NA",Supervisory_Params!$C$5:$C$13,0))*E46</f>
        <v>177187.14616877196</v>
      </c>
    </row>
    <row r="47" spans="1:7" x14ac:dyDescent="0.35">
      <c r="A47" s="17" t="s">
        <v>161</v>
      </c>
      <c r="B47" s="43">
        <f>$F$45+$F$46</f>
        <v>423339.64779402816</v>
      </c>
    </row>
    <row r="48" spans="1:7" x14ac:dyDescent="0.35">
      <c r="A48" s="45" t="s">
        <v>162</v>
      </c>
      <c r="B48" s="46"/>
      <c r="C48" s="46"/>
      <c r="D48" s="46"/>
      <c r="E48" s="46"/>
      <c r="F48" s="46"/>
      <c r="G48" s="46"/>
    </row>
    <row r="49" spans="1:7" x14ac:dyDescent="0.35">
      <c r="A49" s="47" t="s">
        <v>163</v>
      </c>
      <c r="B49" s="34">
        <f>ABS(SUMPRODUCT((Calc_Engine!$B$4:$B$21="NS-A")*(Calc_Engine!$C$4:$C$21="FX")*(Calc_Engine!$D$4:$D$21="EURUSD")*Calc_Engine!$P$4:$P$21))*INDEX(Supervisory_Params!$D$5:$D$13,MATCH("FX|NA",Supervisory_Params!$C$5:$C$13,0))</f>
        <v>180000.00000000003</v>
      </c>
    </row>
    <row r="50" spans="1:7" x14ac:dyDescent="0.35">
      <c r="A50" s="47" t="s">
        <v>164</v>
      </c>
      <c r="B50" s="34">
        <f>ABS(SUMPRODUCT((Calc_Engine!$B$4:$B$21="NS-A")*(Calc_Engine!$C$4:$C$21="FX")*(Calc_Engine!$D$4:$D$21="GBPUSD")*Calc_Engine!$P$4:$P$21))*INDEX(Supervisory_Params!$D$5:$D$13,MATCH("FX|NA",Supervisory_Params!$C$5:$C$13,0))</f>
        <v>120000.00000000001</v>
      </c>
    </row>
    <row r="51" spans="1:7" x14ac:dyDescent="0.35">
      <c r="A51" s="47" t="s">
        <v>165</v>
      </c>
      <c r="B51" s="34">
        <f>ABS(SUMPRODUCT((Calc_Engine!$B$4:$B$21="NS-A")*(Calc_Engine!$C$4:$C$21="FX")*(Calc_Engine!$D$4:$D$21="USDJPY")*Calc_Engine!$P$4:$P$21))*INDEX(Supervisory_Params!$D$5:$D$13,MATCH("FX|NA",Supervisory_Params!$C$5:$C$13,0))</f>
        <v>43809.299943760423</v>
      </c>
    </row>
    <row r="52" spans="1:7" x14ac:dyDescent="0.35">
      <c r="A52" s="17" t="s">
        <v>166</v>
      </c>
      <c r="B52" s="43">
        <f>$B$49+$B$50+$B$51</f>
        <v>343809.2999437605</v>
      </c>
    </row>
    <row r="53" spans="1:7" x14ac:dyDescent="0.35">
      <c r="A53" s="45" t="s">
        <v>43</v>
      </c>
      <c r="B53" s="46"/>
      <c r="C53" s="46"/>
      <c r="D53" s="46"/>
      <c r="E53" s="46"/>
      <c r="F53" s="46"/>
      <c r="G53" s="46"/>
    </row>
    <row r="54" spans="1:7" x14ac:dyDescent="0.35">
      <c r="A54" s="9" t="s">
        <v>167</v>
      </c>
      <c r="B54" s="34">
        <f>SUMPRODUCT((Calc_Engine!$B$4:$B$21="NS-A")*(Calc_Engine!$C$4:$C$21="Credit")*Calc_Engine!$R$4:$R$21*Calc_Engine!$Q$4:$Q$21*Calc_Engine!$P$4:$P$21)</f>
        <v>-73788.473536470614</v>
      </c>
    </row>
    <row r="55" spans="1:7" x14ac:dyDescent="0.35">
      <c r="A55" s="9" t="s">
        <v>168</v>
      </c>
      <c r="B55" s="34">
        <f>SUMPRODUCT((Calc_Engine!$B$4:$B$21="NS-A")*(Calc_Engine!$C$4:$C$21="Credit")*(1-Calc_Engine!$R$4:$R$21^2)*(Calc_Engine!$Q$4:$Q$21*Calc_Engine!$P$4:$P$21)^2)</f>
        <v>7922656765.6223564</v>
      </c>
    </row>
    <row r="56" spans="1:7" x14ac:dyDescent="0.35">
      <c r="A56" s="17" t="s">
        <v>169</v>
      </c>
      <c r="B56" s="48">
        <f>SQRT($B$54^2+$B$55)</f>
        <v>115617.45366710331</v>
      </c>
    </row>
    <row r="57" spans="1:7" x14ac:dyDescent="0.35">
      <c r="A57" s="45" t="s">
        <v>50</v>
      </c>
      <c r="B57" s="46"/>
      <c r="C57" s="46"/>
      <c r="D57" s="46"/>
      <c r="E57" s="46"/>
      <c r="F57" s="46"/>
      <c r="G57" s="46"/>
    </row>
    <row r="58" spans="1:7" x14ac:dyDescent="0.35">
      <c r="A58" s="9" t="s">
        <v>167</v>
      </c>
      <c r="B58" s="34">
        <f>SUMPRODUCT((Calc_Engine!$B$4:$B$21="NS-A")*(Calc_Engine!$C$4:$C$21="Equity")*Calc_Engine!$R$4:$R$21*Calc_Engine!$Q$4:$Q$21*Calc_Engine!$P$4:$P$21)</f>
        <v>107663.08348516509</v>
      </c>
    </row>
    <row r="59" spans="1:7" x14ac:dyDescent="0.35">
      <c r="A59" s="9" t="s">
        <v>168</v>
      </c>
      <c r="B59" s="34">
        <f>SUMPRODUCT((Calc_Engine!$B$4:$B$21="NS-A")*(Calc_Engine!$C$4:$C$21="Equity")*(1-Calc_Engine!$R$4:$R$21^2)*(Calc_Engine!$Q$4:$Q$21*Calc_Engine!$P$4:$P$21)^2)</f>
        <v>267125289445.16928</v>
      </c>
    </row>
    <row r="60" spans="1:7" x14ac:dyDescent="0.35">
      <c r="A60" s="17" t="s">
        <v>170</v>
      </c>
      <c r="B60" s="48">
        <f>SQRT($B$58^2+$B$59)</f>
        <v>527936.19784089713</v>
      </c>
    </row>
    <row r="61" spans="1:7" x14ac:dyDescent="0.35">
      <c r="A61" s="45" t="s">
        <v>55</v>
      </c>
      <c r="B61" s="46"/>
      <c r="C61" s="46"/>
      <c r="D61" s="46"/>
      <c r="E61" s="46"/>
      <c r="F61" s="46"/>
      <c r="G61" s="46"/>
    </row>
    <row r="62" spans="1:7" x14ac:dyDescent="0.35">
      <c r="A62" s="9" t="s">
        <v>167</v>
      </c>
      <c r="B62" s="34">
        <f>SUMPRODUCT((Calc_Engine!$B$4:$B$21="NS-A")*(Calc_Engine!$C$4:$C$21="Commodity")*Calc_Engine!$R$4:$R$21*Calc_Engine!$Q$4:$Q$21*Calc_Engine!$P$4:$P$21)</f>
        <v>21600</v>
      </c>
    </row>
    <row r="63" spans="1:7" x14ac:dyDescent="0.35">
      <c r="A63" s="9" t="s">
        <v>168</v>
      </c>
      <c r="B63" s="34">
        <f>SUMPRODUCT((Calc_Engine!$B$4:$B$21="NS-A")*(Calc_Engine!$C$4:$C$21="Commodity")*(1-Calc_Engine!$R$4:$R$21^2)*(Calc_Engine!$Q$4:$Q$21*Calc_Engine!$P$4:$P$21)^2)</f>
        <v>100427040000.00003</v>
      </c>
    </row>
    <row r="64" spans="1:7" x14ac:dyDescent="0.35">
      <c r="A64" s="17" t="s">
        <v>171</v>
      </c>
      <c r="B64" s="48">
        <f>SQRT($B$62^2+$B$63)</f>
        <v>317637.52926881931</v>
      </c>
    </row>
    <row r="65" spans="1:7" x14ac:dyDescent="0.35">
      <c r="A65" s="49" t="s">
        <v>172</v>
      </c>
      <c r="B65" s="50">
        <f>$B$47+$B$52+$B$56+$B$60+$B$64</f>
        <v>1728340.1285146084</v>
      </c>
    </row>
    <row r="66" spans="1:7" x14ac:dyDescent="0.35">
      <c r="A66" s="9" t="s">
        <v>173</v>
      </c>
      <c r="B66" s="18">
        <f>IF($B$65=0,1,MIN(1,Supervisory_Params!$B$18+(1-Supervisory_Params!$B$18)*EXP(($B$38-$B$39)/(2*(1-Supervisory_Params!$B$18)*$B$65))))</f>
        <v>1</v>
      </c>
    </row>
    <row r="67" spans="1:7" x14ac:dyDescent="0.35">
      <c r="A67" s="9" t="s">
        <v>174</v>
      </c>
      <c r="B67" s="51">
        <f>$B$66*$B$65</f>
        <v>1728340.1285146084</v>
      </c>
    </row>
    <row r="68" spans="1:7" x14ac:dyDescent="0.35">
      <c r="A68" s="9" t="s">
        <v>175</v>
      </c>
      <c r="B68" s="51">
        <f>MAX($B$38-$B$39,$B$40+$B$41-$B$42,0)</f>
        <v>475000</v>
      </c>
    </row>
    <row r="69" spans="1:7" x14ac:dyDescent="0.35">
      <c r="A69" s="52" t="s">
        <v>176</v>
      </c>
      <c r="B69" s="53">
        <f>Supervisory_Params!$B$17*($B$68+$B$67)</f>
        <v>3084676.1799204517</v>
      </c>
    </row>
    <row r="71" spans="1:7" x14ac:dyDescent="0.35">
      <c r="A71" s="1" t="s">
        <v>180</v>
      </c>
      <c r="B71" s="1"/>
      <c r="C71" s="1"/>
      <c r="D71" s="1"/>
      <c r="E71" s="1"/>
      <c r="F71" s="1"/>
      <c r="G71" s="1"/>
    </row>
    <row r="72" spans="1:7" x14ac:dyDescent="0.35">
      <c r="A72" s="17" t="s">
        <v>149</v>
      </c>
      <c r="B72" s="43">
        <f>SUMIF(Calc_Engine!$B$4:$B$21,"NS-B",Trade_Inputs!$N$4:$N$21)</f>
        <v>470000</v>
      </c>
    </row>
    <row r="73" spans="1:7" x14ac:dyDescent="0.35">
      <c r="A73" s="9" t="s">
        <v>150</v>
      </c>
      <c r="B73" s="44">
        <v>400000</v>
      </c>
    </row>
    <row r="74" spans="1:7" x14ac:dyDescent="0.35">
      <c r="A74" s="9" t="s">
        <v>178</v>
      </c>
      <c r="B74" s="44">
        <v>0</v>
      </c>
    </row>
    <row r="75" spans="1:7" x14ac:dyDescent="0.35">
      <c r="A75" s="9" t="s">
        <v>179</v>
      </c>
      <c r="B75" s="44">
        <v>500000</v>
      </c>
    </row>
    <row r="76" spans="1:7" x14ac:dyDescent="0.35">
      <c r="A76" s="9" t="s">
        <v>153</v>
      </c>
      <c r="B76" s="44">
        <v>300000</v>
      </c>
    </row>
    <row r="77" spans="1:7" x14ac:dyDescent="0.35">
      <c r="A77" s="45" t="s">
        <v>154</v>
      </c>
      <c r="B77" s="46"/>
      <c r="C77" s="46"/>
      <c r="D77" s="46"/>
      <c r="E77" s="46"/>
      <c r="F77" s="46"/>
      <c r="G77" s="46"/>
    </row>
    <row r="78" spans="1:7" x14ac:dyDescent="0.35">
      <c r="A78" s="7" t="s">
        <v>155</v>
      </c>
      <c r="B78" s="7" t="s">
        <v>156</v>
      </c>
      <c r="C78" s="7" t="s">
        <v>157</v>
      </c>
      <c r="D78" s="7" t="s">
        <v>158</v>
      </c>
      <c r="E78" s="7" t="s">
        <v>159</v>
      </c>
      <c r="F78" s="7" t="s">
        <v>160</v>
      </c>
    </row>
    <row r="79" spans="1:7" x14ac:dyDescent="0.35">
      <c r="A79" s="54" t="s">
        <v>99</v>
      </c>
      <c r="B79" s="40">
        <f>SUMPRODUCT((Calc_Engine!$B$4:$B$21="NS-B")*(Calc_Engine!$C$4:$C$21="IR")*(Calc_Engine!$D$4:$D$21="USD")*(Calc_Engine!$H$4:$H$21&lt;1)*Calc_Engine!$P$4:$P$21)</f>
        <v>0</v>
      </c>
      <c r="C79" s="40">
        <f>SUMPRODUCT((Calc_Engine!$B$4:$B$21="NS-B")*(Calc_Engine!$C$4:$C$21="IR")*(Calc_Engine!$D$4:$D$21="USD")*(Calc_Engine!$H$4:$H$21&gt;=1)*(Calc_Engine!$H$4:$H$21&lt;=5)*Calc_Engine!$P$4:$P$21)</f>
        <v>-20893803.536241334</v>
      </c>
      <c r="D79" s="40">
        <f>SUMPRODUCT((Calc_Engine!$B$4:$B$21="NS-B")*(Calc_Engine!$C$4:$C$21="IR")*(Calc_Engine!$D$4:$D$21="USD")*(Calc_Engine!$H$4:$H$21&gt;5)*Calc_Engine!$P$4:$P$21)</f>
        <v>94432641.668967992</v>
      </c>
      <c r="E79" s="40">
        <f>SQRT(B79^2+C79^2+D79^2+1.4*B79*C79+1.4*C79*D79+0.6*B79*D79)</f>
        <v>81189869.758333698</v>
      </c>
      <c r="F79" s="40">
        <f>INDEX(Supervisory_Params!$D$5:$D$13,MATCH("IR|NA",Supervisory_Params!$C$5:$C$13,0))*E79</f>
        <v>405949.34879166848</v>
      </c>
    </row>
    <row r="80" spans="1:7" x14ac:dyDescent="0.35">
      <c r="A80" s="17" t="s">
        <v>161</v>
      </c>
      <c r="B80" s="43">
        <f>$F$79</f>
        <v>405949.34879166848</v>
      </c>
    </row>
    <row r="81" spans="1:7" x14ac:dyDescent="0.35">
      <c r="A81" s="45" t="s">
        <v>162</v>
      </c>
      <c r="B81" s="46"/>
      <c r="C81" s="46"/>
      <c r="D81" s="46"/>
      <c r="E81" s="46"/>
      <c r="F81" s="46"/>
      <c r="G81" s="46"/>
    </row>
    <row r="82" spans="1:7" x14ac:dyDescent="0.35">
      <c r="A82" s="54" t="s">
        <v>163</v>
      </c>
      <c r="B82" s="40">
        <f>ABS(SUMPRODUCT((Calc_Engine!$B$4:$B$21="NS-B")*(Calc_Engine!$C$4:$C$21="FX")*(Calc_Engine!$D$4:$D$21="EURUSD")*Calc_Engine!$P$4:$P$21))*INDEX(Supervisory_Params!$D$5:$D$13,MATCH("FX|NA",Supervisory_Params!$C$5:$C$13,0))</f>
        <v>216000.00000000003</v>
      </c>
    </row>
    <row r="83" spans="1:7" x14ac:dyDescent="0.35">
      <c r="A83" s="54" t="s">
        <v>165</v>
      </c>
      <c r="B83" s="40">
        <f>ABS(SUMPRODUCT((Calc_Engine!$B$4:$B$21="NS-B")*(Calc_Engine!$C$4:$C$21="FX")*(Calc_Engine!$D$4:$D$21="USDJPY")*Calc_Engine!$P$4:$P$21))*INDEX(Supervisory_Params!$D$5:$D$13,MATCH("FX|NA",Supervisory_Params!$C$5:$C$13,0))</f>
        <v>144000.00000000003</v>
      </c>
    </row>
    <row r="84" spans="1:7" x14ac:dyDescent="0.35">
      <c r="A84" s="17" t="s">
        <v>166</v>
      </c>
      <c r="B84" s="43">
        <f>$B$82+$B$83</f>
        <v>360000.00000000006</v>
      </c>
    </row>
    <row r="85" spans="1:7" x14ac:dyDescent="0.35">
      <c r="A85" s="45" t="s">
        <v>43</v>
      </c>
      <c r="B85" s="46"/>
      <c r="C85" s="46"/>
      <c r="D85" s="46"/>
      <c r="E85" s="46"/>
      <c r="F85" s="46"/>
      <c r="G85" s="46"/>
    </row>
    <row r="86" spans="1:7" x14ac:dyDescent="0.35">
      <c r="A86" s="9" t="s">
        <v>167</v>
      </c>
      <c r="B86" s="40">
        <f>SUMPRODUCT((Calc_Engine!$B$4:$B$21="NS-B")*(Calc_Engine!$C$4:$C$21="Credit")*Calc_Engine!$R$4:$R$21*Calc_Engine!$Q$4:$Q$21*Calc_Engine!$P$4:$P$21)</f>
        <v>138344.68925088429</v>
      </c>
    </row>
    <row r="87" spans="1:7" x14ac:dyDescent="0.35">
      <c r="A87" s="9" t="s">
        <v>168</v>
      </c>
      <c r="B87" s="40">
        <f>SUMPRODUCT((Calc_Engine!$B$4:$B$21="NS-B")*(Calc_Engine!$C$4:$C$21="Credit")*(1-Calc_Engine!$R$4:$R$21^2)*(Calc_Engine!$Q$4:$Q$21*Calc_Engine!$P$4:$P$21)^2)</f>
        <v>10765829837.207102</v>
      </c>
    </row>
    <row r="88" spans="1:7" x14ac:dyDescent="0.35">
      <c r="A88" s="17" t="s">
        <v>169</v>
      </c>
      <c r="B88" s="55">
        <f>SQRT($B$86^2+$B$87)</f>
        <v>172930.86156360534</v>
      </c>
    </row>
    <row r="89" spans="1:7" x14ac:dyDescent="0.35">
      <c r="A89" s="45" t="s">
        <v>50</v>
      </c>
      <c r="B89" s="46"/>
      <c r="C89" s="46"/>
      <c r="D89" s="46"/>
      <c r="E89" s="46"/>
      <c r="F89" s="46"/>
      <c r="G89" s="46"/>
    </row>
    <row r="90" spans="1:7" x14ac:dyDescent="0.35">
      <c r="A90" s="9" t="s">
        <v>167</v>
      </c>
      <c r="B90" s="40">
        <f>SUMPRODUCT((Calc_Engine!$B$4:$B$21="NS-B")*(Calc_Engine!$C$4:$C$21="Equity")*Calc_Engine!$R$4:$R$21*Calc_Engine!$Q$4:$Q$21*Calc_Engine!$P$4:$P$21)</f>
        <v>960000.00000000035</v>
      </c>
    </row>
    <row r="91" spans="1:7" x14ac:dyDescent="0.35">
      <c r="A91" s="9" t="s">
        <v>168</v>
      </c>
      <c r="B91" s="40">
        <f>SUMPRODUCT((Calc_Engine!$B$4:$B$21="NS-B")*(Calc_Engine!$C$4:$C$21="Equity")*(1-Calc_Engine!$R$4:$R$21^2)*(Calc_Engine!$Q$4:$Q$21*Calc_Engine!$P$4:$P$21)^2)</f>
        <v>518400000000</v>
      </c>
    </row>
    <row r="92" spans="1:7" x14ac:dyDescent="0.35">
      <c r="A92" s="17" t="s">
        <v>170</v>
      </c>
      <c r="B92" s="55">
        <f>SQRT($B$90^2+$B$91)</f>
        <v>1200000.0000000002</v>
      </c>
    </row>
    <row r="93" spans="1:7" x14ac:dyDescent="0.35">
      <c r="A93" s="49" t="s">
        <v>172</v>
      </c>
      <c r="B93" s="50">
        <f>$B$80+$B$84+$B$88+$B$92+0</f>
        <v>2138880.2103552744</v>
      </c>
    </row>
    <row r="94" spans="1:7" x14ac:dyDescent="0.35">
      <c r="A94" s="9" t="s">
        <v>173</v>
      </c>
      <c r="B94" s="18">
        <f>IF($B$93=0,1,MIN(1,Supervisory_Params!$B$18+(1-Supervisory_Params!$B$18)*EXP(($B$72-$B$73)/(2*(1-Supervisory_Params!$B$18)*$B$93))))</f>
        <v>1</v>
      </c>
    </row>
    <row r="95" spans="1:7" x14ac:dyDescent="0.35">
      <c r="A95" s="9" t="s">
        <v>174</v>
      </c>
      <c r="B95" s="51">
        <f>$B$94*$B$93</f>
        <v>2138880.2103552744</v>
      </c>
    </row>
    <row r="96" spans="1:7" x14ac:dyDescent="0.35">
      <c r="A96" s="9" t="s">
        <v>175</v>
      </c>
      <c r="B96" s="51">
        <f>MAX($B$72-$B$73,$B$74+$B$75-$B$76,0)</f>
        <v>200000</v>
      </c>
    </row>
    <row r="97" spans="1:7" x14ac:dyDescent="0.35">
      <c r="A97" s="52" t="s">
        <v>176</v>
      </c>
      <c r="B97" s="53">
        <f>Supervisory_Params!$B$17*($B$96+$B$95)</f>
        <v>3274432.2944973838</v>
      </c>
    </row>
    <row r="99" spans="1:7" x14ac:dyDescent="0.35">
      <c r="A99" s="1" t="s">
        <v>181</v>
      </c>
      <c r="B99" s="1"/>
      <c r="C99" s="1"/>
      <c r="D99" s="1"/>
      <c r="E99" s="1"/>
      <c r="F99" s="1"/>
      <c r="G99" s="1"/>
    </row>
    <row r="100" spans="1:7" x14ac:dyDescent="0.35">
      <c r="A100" s="17" t="s">
        <v>149</v>
      </c>
      <c r="B100" s="43">
        <f>SUMIF(Calc_Engine!$B$4:$B$21,"NS-B",Trade_Inputs!$N$4:$N$21)</f>
        <v>470000</v>
      </c>
    </row>
    <row r="101" spans="1:7" x14ac:dyDescent="0.35">
      <c r="A101" s="9" t="s">
        <v>150</v>
      </c>
      <c r="B101" s="44">
        <v>0</v>
      </c>
    </row>
    <row r="102" spans="1:7" x14ac:dyDescent="0.35">
      <c r="A102" s="9" t="s">
        <v>151</v>
      </c>
      <c r="B102" s="44">
        <v>0</v>
      </c>
    </row>
    <row r="103" spans="1:7" x14ac:dyDescent="0.35">
      <c r="A103" s="9" t="s">
        <v>152</v>
      </c>
      <c r="B103" s="44">
        <v>0</v>
      </c>
    </row>
    <row r="104" spans="1:7" x14ac:dyDescent="0.35">
      <c r="A104" s="9" t="s">
        <v>153</v>
      </c>
      <c r="B104" s="44">
        <v>0</v>
      </c>
    </row>
    <row r="105" spans="1:7" x14ac:dyDescent="0.35">
      <c r="A105" s="45" t="s">
        <v>154</v>
      </c>
      <c r="B105" s="46"/>
      <c r="C105" s="46"/>
      <c r="D105" s="46"/>
      <c r="E105" s="46"/>
      <c r="F105" s="46"/>
      <c r="G105" s="46"/>
    </row>
    <row r="106" spans="1:7" x14ac:dyDescent="0.35">
      <c r="A106" s="7" t="s">
        <v>155</v>
      </c>
      <c r="B106" s="7" t="s">
        <v>156</v>
      </c>
      <c r="C106" s="7" t="s">
        <v>157</v>
      </c>
      <c r="D106" s="7" t="s">
        <v>158</v>
      </c>
      <c r="E106" s="7" t="s">
        <v>159</v>
      </c>
      <c r="F106" s="7" t="s">
        <v>160</v>
      </c>
    </row>
    <row r="107" spans="1:7" x14ac:dyDescent="0.35">
      <c r="A107" s="54" t="s">
        <v>99</v>
      </c>
      <c r="B107" s="40">
        <f>SUMPRODUCT((Calc_Engine!$B$4:$B$21="NS-B")*(Calc_Engine!$C$4:$C$21="IR")*(Calc_Engine!$D$4:$D$21="USD")*(Calc_Engine!$H$4:$H$21&lt;1)*Calc_Engine!$O$4:$O$21)</f>
        <v>0</v>
      </c>
      <c r="C107" s="40">
        <f>SUMPRODUCT((Calc_Engine!$B$4:$B$21="NS-B")*(Calc_Engine!$C$4:$C$21="IR")*(Calc_Engine!$D$4:$D$21="USD")*(Calc_Engine!$H$4:$H$21&gt;=1)*(Calc_Engine!$H$4:$H$21&lt;=5)*Calc_Engine!$O$4:$O$21)</f>
        <v>-69646011.787471101</v>
      </c>
      <c r="D107" s="40">
        <f>SUMPRODUCT((Calc_Engine!$B$4:$B$21="NS-B")*(Calc_Engine!$C$4:$C$21="IR")*(Calc_Engine!$D$4:$D$21="USD")*(Calc_Engine!$H$4:$H$21&gt;5)*Calc_Engine!$O$4:$O$21)</f>
        <v>314775472.22989327</v>
      </c>
      <c r="E107" s="40">
        <f>SQRT(B107^2+C107^2+D107^2+1.4*B107*C107+1.4*C107*D107+0.6*B107*D107)</f>
        <v>270632899.19444561</v>
      </c>
      <c r="F107" s="40">
        <f>INDEX(Supervisory_Params!$D$5:$D$13,MATCH("IR|NA",Supervisory_Params!$C$5:$C$13,0))*E107</f>
        <v>1353164.495972228</v>
      </c>
    </row>
    <row r="108" spans="1:7" x14ac:dyDescent="0.35">
      <c r="A108" s="17" t="s">
        <v>161</v>
      </c>
      <c r="B108" s="43">
        <f>$F$107</f>
        <v>1353164.495972228</v>
      </c>
    </row>
    <row r="109" spans="1:7" x14ac:dyDescent="0.35">
      <c r="A109" s="45" t="s">
        <v>162</v>
      </c>
      <c r="B109" s="46"/>
      <c r="C109" s="46"/>
      <c r="D109" s="46"/>
      <c r="E109" s="46"/>
      <c r="F109" s="46"/>
      <c r="G109" s="46"/>
    </row>
    <row r="110" spans="1:7" x14ac:dyDescent="0.35">
      <c r="A110" s="54" t="s">
        <v>163</v>
      </c>
      <c r="B110" s="40">
        <f>ABS(SUMPRODUCT((Calc_Engine!$B$4:$B$21="NS-B")*(Calc_Engine!$C$4:$C$21="FX")*(Calc_Engine!$D$4:$D$21="EURUSD")*Calc_Engine!$O$4:$O$21))*INDEX(Supervisory_Params!$D$5:$D$13,MATCH("FX|NA",Supervisory_Params!$C$5:$C$13,0))</f>
        <v>720000</v>
      </c>
    </row>
    <row r="111" spans="1:7" x14ac:dyDescent="0.35">
      <c r="A111" s="54" t="s">
        <v>165</v>
      </c>
      <c r="B111" s="40">
        <f>ABS(SUMPRODUCT((Calc_Engine!$B$4:$B$21="NS-B")*(Calc_Engine!$C$4:$C$21="FX")*(Calc_Engine!$D$4:$D$21="USDJPY")*Calc_Engine!$O$4:$O$21))*INDEX(Supervisory_Params!$D$5:$D$13,MATCH("FX|NA",Supervisory_Params!$C$5:$C$13,0))</f>
        <v>480000</v>
      </c>
    </row>
    <row r="112" spans="1:7" x14ac:dyDescent="0.35">
      <c r="A112" s="17" t="s">
        <v>166</v>
      </c>
      <c r="B112" s="43">
        <f>$B$110+$B$111</f>
        <v>1200000</v>
      </c>
    </row>
    <row r="113" spans="1:7" x14ac:dyDescent="0.35">
      <c r="A113" s="45" t="s">
        <v>43</v>
      </c>
      <c r="B113" s="46"/>
      <c r="C113" s="46"/>
      <c r="D113" s="46"/>
      <c r="E113" s="46"/>
      <c r="F113" s="46"/>
      <c r="G113" s="46"/>
    </row>
    <row r="114" spans="1:7" x14ac:dyDescent="0.35">
      <c r="A114" s="9" t="s">
        <v>167</v>
      </c>
      <c r="B114" s="40">
        <f>SUMPRODUCT((Calc_Engine!$B$4:$B$21="NS-B")*(Calc_Engine!$C$4:$C$21="Credit")*Calc_Engine!$R$4:$R$21*Calc_Engine!$Q$4:$Q$21*Calc_Engine!$O$4:$O$21)</f>
        <v>461148.96416961425</v>
      </c>
    </row>
    <row r="115" spans="1:7" x14ac:dyDescent="0.35">
      <c r="A115" s="9" t="s">
        <v>168</v>
      </c>
      <c r="B115" s="40">
        <f>SUMPRODUCT((Calc_Engine!$B$4:$B$21="NS-B")*(Calc_Engine!$C$4:$C$21="Credit")*(1-Calc_Engine!$R$4:$R$21^2)*(Calc_Engine!$Q$4:$Q$21*Calc_Engine!$O$4:$O$21)^2)</f>
        <v>119620331524.52332</v>
      </c>
    </row>
    <row r="116" spans="1:7" x14ac:dyDescent="0.35">
      <c r="A116" s="17" t="s">
        <v>169</v>
      </c>
      <c r="B116" s="55">
        <f>SQRT($B$114^2+$B$115)</f>
        <v>576436.20521201775</v>
      </c>
    </row>
    <row r="117" spans="1:7" x14ac:dyDescent="0.35">
      <c r="A117" s="45" t="s">
        <v>50</v>
      </c>
      <c r="B117" s="46"/>
      <c r="C117" s="46"/>
      <c r="D117" s="46"/>
      <c r="E117" s="46"/>
      <c r="F117" s="46"/>
      <c r="G117" s="46"/>
    </row>
    <row r="118" spans="1:7" x14ac:dyDescent="0.35">
      <c r="A118" s="9" t="s">
        <v>167</v>
      </c>
      <c r="B118" s="40">
        <f>SUMPRODUCT((Calc_Engine!$B$4:$B$21="NS-B")*(Calc_Engine!$C$4:$C$21="Equity")*Calc_Engine!$R$4:$R$21*Calc_Engine!$Q$4:$Q$21*Calc_Engine!$O$4:$O$21)</f>
        <v>3200000.0000000005</v>
      </c>
    </row>
    <row r="119" spans="1:7" x14ac:dyDescent="0.35">
      <c r="A119" s="9" t="s">
        <v>168</v>
      </c>
      <c r="B119" s="40">
        <f>SUMPRODUCT((Calc_Engine!$B$4:$B$21="NS-B")*(Calc_Engine!$C$4:$C$21="Equity")*(1-Calc_Engine!$R$4:$R$21^2)*(Calc_Engine!$Q$4:$Q$21*Calc_Engine!$O$4:$O$21)^2)</f>
        <v>5759999999999.998</v>
      </c>
    </row>
    <row r="120" spans="1:7" x14ac:dyDescent="0.35">
      <c r="A120" s="17" t="s">
        <v>170</v>
      </c>
      <c r="B120" s="55">
        <f>SQRT($B$118^2+$B$119)</f>
        <v>4000000.0000000005</v>
      </c>
    </row>
    <row r="121" spans="1:7" x14ac:dyDescent="0.35">
      <c r="A121" s="49" t="s">
        <v>172</v>
      </c>
      <c r="B121" s="50">
        <f>$B$108+$B$112+$B$116+$B$120+0</f>
        <v>7129600.7011842467</v>
      </c>
    </row>
    <row r="122" spans="1:7" x14ac:dyDescent="0.35">
      <c r="A122" s="9" t="s">
        <v>173</v>
      </c>
      <c r="B122" s="18">
        <f>IF($B$121=0,1,MIN(1,Supervisory_Params!$B$18+(1-Supervisory_Params!$B$18)*EXP(($B$100-$B$101)/(2*(1-Supervisory_Params!$B$18)*$B$121))))</f>
        <v>1</v>
      </c>
    </row>
    <row r="123" spans="1:7" x14ac:dyDescent="0.35">
      <c r="A123" s="9" t="s">
        <v>174</v>
      </c>
      <c r="B123" s="51">
        <f>$B$122*$B$121</f>
        <v>7129600.7011842467</v>
      </c>
    </row>
    <row r="124" spans="1:7" x14ac:dyDescent="0.35">
      <c r="A124" s="9" t="s">
        <v>175</v>
      </c>
      <c r="B124" s="51">
        <f>MAX($B$100-$B$101,0)</f>
        <v>470000</v>
      </c>
    </row>
    <row r="125" spans="1:7" x14ac:dyDescent="0.35">
      <c r="A125" s="52" t="s">
        <v>176</v>
      </c>
      <c r="B125" s="53">
        <f>Supervisory_Params!$B$17*($B$124+$B$123)</f>
        <v>10639440.981657945</v>
      </c>
    </row>
  </sheetData>
  <mergeCells count="5">
    <mergeCell ref="A1:G1"/>
    <mergeCell ref="A3:G3"/>
    <mergeCell ref="A37:G37"/>
    <mergeCell ref="A71:G71"/>
    <mergeCell ref="A99:G9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showGridLines="0" tabSelected="1" zoomScaleNormal="100" workbookViewId="0">
      <selection sqref="A1:E1"/>
    </sheetView>
  </sheetViews>
  <sheetFormatPr defaultColWidth="8.6328125" defaultRowHeight="14.5" x14ac:dyDescent="0.35"/>
  <cols>
    <col min="1" max="1" width="34" customWidth="1"/>
    <col min="2" max="2" width="22" customWidth="1"/>
    <col min="3" max="5" width="20" customWidth="1"/>
  </cols>
  <sheetData>
    <row r="1" spans="1:5" ht="21.75" customHeight="1" x14ac:dyDescent="0.4">
      <c r="A1" s="2" t="s">
        <v>182</v>
      </c>
      <c r="B1" s="2"/>
      <c r="C1" s="2"/>
      <c r="D1" s="2"/>
      <c r="E1" s="2"/>
    </row>
    <row r="3" spans="1:5" x14ac:dyDescent="0.35">
      <c r="A3" s="7" t="s">
        <v>85</v>
      </c>
      <c r="B3" s="7" t="s">
        <v>183</v>
      </c>
      <c r="C3" s="7" t="s">
        <v>184</v>
      </c>
      <c r="D3" s="7" t="s">
        <v>185</v>
      </c>
      <c r="E3" s="7" t="s">
        <v>186</v>
      </c>
    </row>
    <row r="4" spans="1:5" x14ac:dyDescent="0.35">
      <c r="A4" s="56" t="s">
        <v>187</v>
      </c>
      <c r="B4" s="57" t="s">
        <v>188</v>
      </c>
      <c r="C4" s="34">
        <f>AddOn_Aggregation!$B$34</f>
        <v>475000</v>
      </c>
      <c r="D4" s="34">
        <f>AddOn_Aggregation!$B$33</f>
        <v>5624412.0299551403</v>
      </c>
      <c r="E4" s="58">
        <f>AddOn_Aggregation!$B$35</f>
        <v>8539176.8419371955</v>
      </c>
    </row>
    <row r="5" spans="1:5" x14ac:dyDescent="0.35">
      <c r="A5" s="56" t="s">
        <v>187</v>
      </c>
      <c r="B5" s="57" t="s">
        <v>189</v>
      </c>
      <c r="C5" s="34">
        <f>AddOn_Aggregation!$B$68</f>
        <v>475000</v>
      </c>
      <c r="D5" s="34">
        <f>AddOn_Aggregation!$B$67</f>
        <v>1728340.1285146084</v>
      </c>
      <c r="E5" s="58">
        <f>AddOn_Aggregation!$B$69</f>
        <v>3084676.1799204517</v>
      </c>
    </row>
    <row r="6" spans="1:5" x14ac:dyDescent="0.35">
      <c r="A6" s="59" t="s">
        <v>190</v>
      </c>
      <c r="B6" s="60" t="s">
        <v>191</v>
      </c>
      <c r="C6" s="40">
        <f>AddOn_Aggregation!$B$96</f>
        <v>200000</v>
      </c>
      <c r="D6" s="40">
        <f>AddOn_Aggregation!$B$95</f>
        <v>2138880.2103552744</v>
      </c>
      <c r="E6" s="61">
        <f>AddOn_Aggregation!$B$97</f>
        <v>3274432.2944973838</v>
      </c>
    </row>
    <row r="7" spans="1:5" x14ac:dyDescent="0.35">
      <c r="A7" s="59" t="s">
        <v>190</v>
      </c>
      <c r="B7" s="60" t="s">
        <v>192</v>
      </c>
      <c r="C7" s="40">
        <f>AddOn_Aggregation!$B$124</f>
        <v>470000</v>
      </c>
      <c r="D7" s="40">
        <f>AddOn_Aggregation!$B$123</f>
        <v>7129600.7011842467</v>
      </c>
      <c r="E7" s="61">
        <f>AddOn_Aggregation!$B$125</f>
        <v>10639440.981657945</v>
      </c>
    </row>
    <row r="9" spans="1:5" x14ac:dyDescent="0.35">
      <c r="A9" s="49" t="s">
        <v>193</v>
      </c>
      <c r="B9" s="62"/>
      <c r="C9" s="62"/>
      <c r="D9" s="62"/>
      <c r="E9" s="50">
        <f>E5-E4</f>
        <v>-5454500.6620167438</v>
      </c>
    </row>
    <row r="10" spans="1:5" x14ac:dyDescent="0.35">
      <c r="A10" s="49" t="s">
        <v>194</v>
      </c>
      <c r="B10" s="62"/>
      <c r="C10" s="62"/>
      <c r="D10" s="62"/>
      <c r="E10" s="50">
        <f>E7-E6</f>
        <v>7365008.6871605609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Supervisory_Params</vt:lpstr>
      <vt:lpstr>Trade_Inputs</vt:lpstr>
      <vt:lpstr>Calc_Engine</vt:lpstr>
      <vt:lpstr>AddOn_Aggregation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Yazad Madan</cp:lastModifiedBy>
  <cp:revision>0</cp:revision>
  <dcterms:created xsi:type="dcterms:W3CDTF">2026-08-03T01:31:11Z</dcterms:created>
  <dcterms:modified xsi:type="dcterms:W3CDTF">2026-08-03T01:40:36Z</dcterms:modified>
  <dc:language>en-US</dc:language>
</cp:coreProperties>
</file>