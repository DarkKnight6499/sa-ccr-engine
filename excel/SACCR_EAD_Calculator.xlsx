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1" activeTab="5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pervisory_Params" sheetId="2" state="visible" r:id="rId2"/>
    <sheet xmlns:r="http://schemas.openxmlformats.org/officeDocument/2006/relationships" name="Trade_Inputs" sheetId="3" state="visible" r:id="rId3"/>
    <sheet xmlns:r="http://schemas.openxmlformats.org/officeDocument/2006/relationships" name="Calc_Engine" sheetId="4" state="visible" r:id="rId4"/>
    <sheet xmlns:r="http://schemas.openxmlformats.org/officeDocument/2006/relationships" name="AddOn_Aggregation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BACVA_Params" sheetId="7" state="visible" r:id="rId7"/>
    <sheet xmlns:r="http://schemas.openxmlformats.org/officeDocument/2006/relationships" name="BACVA_Counterparties" sheetId="8" state="visible" r:id="rId8"/>
    <sheet xmlns:r="http://schemas.openxmlformats.org/officeDocument/2006/relationships" name="BACVA_Calc" sheetId="9" state="visible" r:id="rId9"/>
    <sheet xmlns:r="http://schemas.openxmlformats.org/officeDocument/2006/relationships" name="BACVA_Summary" sheetId="10" state="visible" r:id="rId10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"/>
    <numFmt numFmtId="166" formatCode="\$#,##0;&quot;($&quot;#,##0\);\-"/>
  </numFmts>
  <fonts count="18">
    <font>
      <name val="Calibri"/>
      <charset val="1"/>
      <family val="2"/>
      <color theme="1"/>
      <sz val="11"/>
    </font>
    <font>
      <name val="Arial"/>
      <family val="2"/>
      <b val="1"/>
      <color rgb="FFFFFFFF"/>
      <sz val="14"/>
    </font>
    <font>
      <name val="Arial"/>
      <family val="2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10"/>
    </font>
    <font>
      <name val="Arial"/>
      <family val="2"/>
      <color rgb="FF0000FF"/>
      <sz val="10"/>
    </font>
    <font>
      <name val="Arial"/>
      <family val="2"/>
      <i val="1"/>
      <color rgb="FF808080"/>
      <sz val="9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rgb="FF008000"/>
      <sz val="10"/>
    </font>
    <font>
      <name val="Arial"/>
      <b val="1"/>
      <color rgb="FFFFFFFF"/>
      <sz val="14"/>
    </font>
    <font>
      <name val="Arial"/>
      <b val="1"/>
      <sz val="10"/>
    </font>
    <font>
      <name val="Arial"/>
      <b val="1"/>
      <color rgb="FFFFFFFF"/>
      <sz val="10"/>
    </font>
    <font>
      <name val="Arial"/>
      <sz val="10"/>
    </font>
    <font>
      <name val="Arial"/>
      <color rgb="FF0000FF"/>
      <sz val="10"/>
    </font>
    <font>
      <name val="Arial"/>
      <i val="1"/>
      <color rgb="FF666666"/>
      <sz val="9"/>
    </font>
    <font>
      <name val="Arial"/>
      <b val="1"/>
      <sz val="11"/>
    </font>
  </fonts>
  <fills count="12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548235"/>
        <bgColor rgb="FF339966"/>
      </patternFill>
    </fill>
    <fill>
      <patternFill patternType="solid">
        <fgColor rgb="FF30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E2EFDA"/>
      </patternFill>
    </fill>
    <fill>
      <patternFill patternType="solid">
        <fgColor rgb="FFD9D9D9"/>
        <bgColor rgb="FFDDEBF7"/>
      </patternFill>
    </fill>
    <fill>
      <patternFill patternType="solid">
        <fgColor rgb="FFE2EFDA"/>
        <bgColor rgb="FFDDEBF7"/>
      </patternFill>
    </fill>
    <fill>
      <patternFill patternType="solid">
        <fgColor rgb="FF1F3864"/>
      </patternFill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4" fillId="3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2" fillId="0" borderId="1" pivotButton="0" quotePrefix="0" xfId="0"/>
    <xf numFmtId="10" fontId="6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2" fontId="6" fillId="5" borderId="1" pivotButton="0" quotePrefix="0" xfId="0"/>
    <xf numFmtId="0" fontId="0" fillId="0" borderId="1" pivotButton="0" quotePrefix="0" xfId="0"/>
    <xf numFmtId="164" fontId="6" fillId="5" borderId="1" pivotButton="0" quotePrefix="0" xfId="0"/>
    <xf numFmtId="1" fontId="6" fillId="5" borderId="1" pivotButton="0" quotePrefix="0" xfId="0"/>
    <xf numFmtId="0" fontId="9" fillId="0" borderId="1" pivotButton="0" quotePrefix="0" xfId="0"/>
    <xf numFmtId="165" fontId="2" fillId="0" borderId="1" pivotButton="0" quotePrefix="0" xfId="0"/>
    <xf numFmtId="0" fontId="6" fillId="6" borderId="1" pivotButton="0" quotePrefix="0" xfId="0"/>
    <xf numFmtId="166" fontId="6" fillId="6" borderId="1" pivotButton="0" quotePrefix="0" xfId="0"/>
    <xf numFmtId="2" fontId="6" fillId="6" borderId="1" pivotButton="0" quotePrefix="0" xfId="0"/>
    <xf numFmtId="164" fontId="6" fillId="6" borderId="1" pivotButton="0" quotePrefix="0" xfId="0"/>
    <xf numFmtId="0" fontId="6" fillId="7" borderId="1" pivotButton="0" quotePrefix="0" xfId="0"/>
    <xf numFmtId="166" fontId="6" fillId="7" borderId="1" pivotButton="0" quotePrefix="0" xfId="0"/>
    <xf numFmtId="2" fontId="6" fillId="7" borderId="1" pivotButton="0" quotePrefix="0" xfId="0"/>
    <xf numFmtId="164" fontId="6" fillId="7" borderId="1" pivotButton="0" quotePrefix="0" xfId="0"/>
    <xf numFmtId="0" fontId="9" fillId="0" borderId="0" pivotButton="0" quotePrefix="0" xfId="0"/>
    <xf numFmtId="0" fontId="7" fillId="6" borderId="0" pivotButton="0" quotePrefix="0" xfId="0"/>
    <xf numFmtId="0" fontId="7" fillId="7" borderId="0" pivotButton="0" quotePrefix="0" xfId="0"/>
    <xf numFmtId="0" fontId="7" fillId="0" borderId="0" pivotButton="0" quotePrefix="0" xfId="0"/>
    <xf numFmtId="0" fontId="10" fillId="6" borderId="1" pivotButton="0" quotePrefix="0" xfId="0"/>
    <xf numFmtId="2" fontId="10" fillId="6" borderId="1" pivotButton="0" quotePrefix="0" xfId="0"/>
    <xf numFmtId="165" fontId="2" fillId="6" borderId="1" pivotButton="0" quotePrefix="0" xfId="0"/>
    <xf numFmtId="166" fontId="2" fillId="6" borderId="1" pivotButton="0" quotePrefix="0" xfId="0"/>
    <xf numFmtId="10" fontId="2" fillId="6" borderId="1" pivotButton="0" quotePrefix="0" xfId="0"/>
    <xf numFmtId="164" fontId="2" fillId="6" borderId="1" pivotButton="0" quotePrefix="0" xfId="0"/>
    <xf numFmtId="0" fontId="10" fillId="7" borderId="1" pivotButton="0" quotePrefix="0" xfId="0"/>
    <xf numFmtId="2" fontId="10" fillId="7" borderId="1" pivotButton="0" quotePrefix="0" xfId="0"/>
    <xf numFmtId="165" fontId="2" fillId="7" borderId="1" pivotButton="0" quotePrefix="0" xfId="0"/>
    <xf numFmtId="166" fontId="2" fillId="7" borderId="1" pivotButton="0" quotePrefix="0" xfId="0"/>
    <xf numFmtId="10" fontId="2" fillId="7" borderId="1" pivotButton="0" quotePrefix="0" xfId="0"/>
    <xf numFmtId="164" fontId="2" fillId="7" borderId="1" pivotButton="0" quotePrefix="0" xfId="0"/>
    <xf numFmtId="166" fontId="9" fillId="0" borderId="1" pivotButton="0" quotePrefix="0" xfId="0"/>
    <xf numFmtId="166" fontId="6" fillId="5" borderId="1" pivotButton="0" quotePrefix="0" xfId="0"/>
    <xf numFmtId="0" fontId="9" fillId="8" borderId="1" pivotButton="0" quotePrefix="0" xfId="0"/>
    <xf numFmtId="0" fontId="0" fillId="8" borderId="0" pivotButton="0" quotePrefix="0" xfId="0"/>
    <xf numFmtId="0" fontId="2" fillId="6" borderId="1" pivotButton="0" quotePrefix="0" xfId="0"/>
    <xf numFmtId="166" fontId="9" fillId="6" borderId="1" pivotButton="0" quotePrefix="0" xfId="0"/>
    <xf numFmtId="0" fontId="9" fillId="9" borderId="1" pivotButton="0" quotePrefix="0" xfId="0"/>
    <xf numFmtId="166" fontId="9" fillId="9" borderId="1" pivotButton="0" quotePrefix="0" xfId="0"/>
    <xf numFmtId="166" fontId="2" fillId="0" borderId="1" pivotButton="0" quotePrefix="0" xfId="0"/>
    <xf numFmtId="0" fontId="3" fillId="9" borderId="1" pivotButton="0" quotePrefix="0" xfId="0"/>
    <xf numFmtId="166" fontId="3" fillId="9" borderId="1" pivotButton="0" quotePrefix="0" xfId="0"/>
    <xf numFmtId="0" fontId="2" fillId="7" borderId="1" pivotButton="0" quotePrefix="0" xfId="0"/>
    <xf numFmtId="166" fontId="9" fillId="7" borderId="1" pivotButton="0" quotePrefix="0" xfId="0"/>
    <xf numFmtId="0" fontId="9" fillId="6" borderId="1" pivotButton="0" quotePrefix="0" xfId="0"/>
    <xf numFmtId="0" fontId="8" fillId="6" borderId="1" pivotButton="0" quotePrefix="0" xfId="0"/>
    <xf numFmtId="166" fontId="3" fillId="6" borderId="1" pivotButton="0" quotePrefix="0" xfId="0"/>
    <xf numFmtId="0" fontId="9" fillId="7" borderId="1" pivotButton="0" quotePrefix="0" xfId="0"/>
    <xf numFmtId="0" fontId="8" fillId="7" borderId="1" pivotButton="0" quotePrefix="0" xfId="0"/>
    <xf numFmtId="166" fontId="3" fillId="7" borderId="1" pivotButton="0" quotePrefix="0" xfId="0"/>
    <xf numFmtId="0" fontId="0" fillId="9" borderId="1" pivotButton="0" quotePrefix="0" xfId="0"/>
    <xf numFmtId="0" fontId="12" fillId="0" borderId="0" pivotButton="0" quotePrefix="0" xfId="0"/>
    <xf numFmtId="0" fontId="14" fillId="0" borderId="0" pivotButton="0" quotePrefix="0" xfId="0"/>
    <xf numFmtId="0" fontId="11" fillId="10" borderId="0" pivotButton="0" quotePrefix="0" xfId="0"/>
    <xf numFmtId="0" fontId="0" fillId="10" borderId="0" pivotButton="0" quotePrefix="0" xfId="0"/>
    <xf numFmtId="0" fontId="13" fillId="11" borderId="0" pivotButton="0" quotePrefix="0" xfId="0"/>
    <xf numFmtId="0" fontId="15" fillId="0" borderId="0" pivotButton="0" quotePrefix="0" xfId="0"/>
    <xf numFmtId="0" fontId="16" fillId="0" borderId="0" pivotButton="0" quotePrefix="0" xfId="0"/>
    <xf numFmtId="10" fontId="15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4" fontId="1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7B7B7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showGridLines="0" topLeftCell="A9" zoomScaleNormal="100" workbookViewId="0">
      <selection activeCell="B4" sqref="B4"/>
    </sheetView>
  </sheetViews>
  <sheetFormatPr baseColWidth="8" defaultColWidth="8.6328125" defaultRowHeight="14.5"/>
  <cols>
    <col width="3" customWidth="1" min="1" max="1"/>
    <col width="118" customWidth="1" min="2" max="2"/>
    <col width="3" customWidth="1" min="3" max="3"/>
  </cols>
  <sheetData>
    <row r="1" ht="27.75" customHeight="1">
      <c r="A1" s="3" t="inlineStr">
        <is>
          <t>SA-CCR EAD Calculator - Standardised Approach for Counterparty Credit Risk</t>
        </is>
      </c>
    </row>
    <row r="2">
      <c r="A2" s="4" t="n"/>
      <c r="B2" s="5" t="n"/>
      <c r="C2" s="4" t="n"/>
    </row>
    <row r="3">
      <c r="A3" s="4" t="n"/>
      <c r="B3" s="6" t="inlineStr">
        <is>
          <t>Source</t>
        </is>
      </c>
      <c r="C3" s="4" t="n"/>
    </row>
    <row r="4">
      <c r="A4" s="4" t="n"/>
      <c r="B4" s="5" t="inlineStr">
        <is>
          <t>BIS d279, 'Standardised approach for measuring counterparty credit risk exposures', March 2014 (rev. Apr 2014). bis.org/publ/bcbs279.htm</t>
        </is>
      </c>
      <c r="C4" s="4" t="n"/>
    </row>
    <row r="5">
      <c r="A5" s="4" t="n"/>
      <c r="B5" s="4" t="n"/>
      <c r="C5" s="4" t="n"/>
    </row>
    <row r="6">
      <c r="A6" s="4" t="n"/>
      <c r="B6" s="6" t="inlineStr">
        <is>
          <t>Formula</t>
        </is>
      </c>
      <c r="C6" s="4" t="n"/>
    </row>
    <row r="7">
      <c r="A7" s="4" t="n"/>
      <c r="B7" s="5" t="inlineStr">
        <is>
          <t>EAD = alpha x (RC + PFE), alpha = 1.4</t>
        </is>
      </c>
      <c r="C7" s="4" t="n"/>
    </row>
    <row r="8">
      <c r="A8" s="4" t="n"/>
      <c r="B8" s="5" t="inlineStr">
        <is>
          <t>RC unmargined = max(V - C, 0)</t>
        </is>
      </c>
      <c r="C8" s="4" t="n"/>
    </row>
    <row r="9">
      <c r="A9" s="4" t="n"/>
      <c r="B9" s="5" t="inlineStr">
        <is>
          <t>RC margined = max(V - C, TH + MTA - NICA, 0)</t>
        </is>
      </c>
      <c r="C9" s="4" t="n"/>
    </row>
    <row r="10">
      <c r="A10" s="4" t="n"/>
      <c r="B10" s="5" t="inlineStr">
        <is>
          <t>PFE = Multiplier x AddOn_aggregate</t>
        </is>
      </c>
      <c r="C10" s="4" t="n"/>
    </row>
    <row r="11">
      <c r="A11" s="4" t="n"/>
      <c r="B11" s="5" t="inlineStr">
        <is>
          <t>Multiplier = min[1, Floor + (1-Floor) x exp((V-C) / (2 x (1-Floor) x AddOn_aggregate))], Floor = 5%</t>
        </is>
      </c>
      <c r="C11" s="4" t="n"/>
    </row>
    <row r="12">
      <c r="A12" s="4" t="n"/>
      <c r="B12" s="5" t="inlineStr">
        <is>
          <t>AddOn_aggregate = sum of AddOn by asset class (IR, FX, Credit, Equity, Commodity)</t>
        </is>
      </c>
      <c r="C12" s="4" t="n"/>
    </row>
    <row r="13">
      <c r="A13" s="4" t="n"/>
      <c r="B13" s="4" t="n"/>
      <c r="C13" s="4" t="n"/>
    </row>
    <row r="14">
      <c r="A14" s="4" t="n"/>
      <c r="B14" s="6" t="inlineStr">
        <is>
          <t>Trade-level waterfall</t>
        </is>
      </c>
      <c r="C14" s="4" t="n"/>
    </row>
    <row r="15">
      <c r="A15" s="4" t="n"/>
      <c r="B15" s="5" t="inlineStr">
        <is>
          <t>1. Adjusted notional d: notional x SD for IR/Credit, SD = [exp(-0.05S) - exp(-0.05E)] / 0.05; notional directly for FX/Equity/Commodity</t>
        </is>
      </c>
      <c r="C15" s="4" t="n"/>
    </row>
    <row r="16">
      <c r="A16" s="4" t="n"/>
      <c r="B16" s="5" t="inlineStr">
        <is>
          <t>2. Supervisory delta: +/-1 linear; Black-Scholes via NORMSDIST(d1) for options</t>
        </is>
      </c>
      <c r="C16" s="4" t="n"/>
    </row>
    <row r="17">
      <c r="A17" s="4" t="n"/>
      <c r="B17" s="5" t="inlineStr">
        <is>
          <t>3. Maturity factor: unmargined = sqrt(min(M,1)); margined = 1.5 x sqrt(MPOR/1yr), MPOR floor 10 business days</t>
        </is>
      </c>
      <c r="C17" s="4" t="n"/>
    </row>
    <row r="18">
      <c r="A18" s="4" t="n"/>
      <c r="B18" s="5" t="inlineStr">
        <is>
          <t>4. Effective notional = delta x d x MF</t>
        </is>
      </c>
      <c r="C18" s="4" t="n"/>
    </row>
    <row r="19" ht="25" customHeight="1">
      <c r="A19" s="4" t="n"/>
      <c r="B19" s="5" t="inlineStr">
        <is>
          <t>5. Aggregation: IR = 3 maturity buckets, cross-bucket correlation (1.4x adjacent, 0.6x buckets 1&amp;3); FX = sum by pair; Credit/Equity/Commodity = sqrt[(sum rho_i SF_i Eff_i)^2 + sum(1-rho_i^2)(SF_i Eff_i)^2]</t>
        </is>
      </c>
      <c r="C19" s="4" t="n"/>
    </row>
    <row r="20">
      <c r="A20" s="4" t="n"/>
      <c r="B20" s="4" t="n"/>
      <c r="C20" s="4" t="n"/>
    </row>
    <row r="21">
      <c r="A21" s="4" t="n"/>
      <c r="B21" s="6" t="inlineStr">
        <is>
          <t>Sheets</t>
        </is>
      </c>
      <c r="C21" s="4" t="n"/>
    </row>
    <row r="22">
      <c r="A22" s="4" t="n"/>
      <c r="B22" s="5" t="inlineStr">
        <is>
          <t>Supervisory_Params - SF, correlations, alpha, floors (editable)</t>
        </is>
      </c>
      <c r="C22" s="4" t="n"/>
    </row>
    <row r="23">
      <c r="A23" s="4" t="n"/>
      <c r="B23" s="5" t="inlineStr">
        <is>
          <t>Trade_Inputs - 18-trade sample, two netting sets (editable)</t>
        </is>
      </c>
      <c r="C23" s="4" t="n"/>
    </row>
    <row r="24">
      <c r="A24" s="4" t="n"/>
      <c r="B24" s="5" t="inlineStr">
        <is>
          <t>Calc_Engine - per-trade waterfall (formulas)</t>
        </is>
      </c>
      <c r="C24" s="4" t="n"/>
    </row>
    <row r="25">
      <c r="A25" s="4" t="n"/>
      <c r="B25" s="5" t="inlineStr">
        <is>
          <t>AddOn_Aggregation - AddOn build-up, RC, multiplier, PFE, EAD, 4 scenarios (A/B actual vs. opposite margin status)</t>
        </is>
      </c>
      <c r="C25" s="4" t="n"/>
    </row>
    <row r="26">
      <c r="A26" s="4" t="n"/>
      <c r="B26" s="5" t="inlineStr">
        <is>
          <t>Summary - EAD comparison table</t>
        </is>
      </c>
      <c r="C26" s="4" t="n"/>
    </row>
    <row r="27">
      <c r="A27" s="4" t="n"/>
      <c r="B27" s="4" t="n"/>
      <c r="C27" s="4" t="n"/>
    </row>
    <row r="28">
      <c r="A28" s="4" t="n"/>
      <c r="B28" s="6" t="inlineStr">
        <is>
          <t>Sample portfolio</t>
        </is>
      </c>
      <c r="C28" s="4" t="n"/>
    </row>
    <row r="29">
      <c r="A29" s="4" t="n"/>
      <c r="B29" s="5" t="inlineStr">
        <is>
          <t>NS-A (CORP-001): unmargined, 12 trades, IR/FX/Credit/Equity/Commodity</t>
        </is>
      </c>
      <c r="C29" s="4" t="n"/>
    </row>
    <row r="30">
      <c r="A30" s="4" t="n"/>
      <c r="B30" s="5" t="inlineStr">
        <is>
          <t>NS-B (BANK-001): CSA, TH=$0, MTA=$500k, NICA=$300k, 10bd MPOR, 6 trades</t>
        </is>
      </c>
      <c r="C30" s="4" t="n"/>
    </row>
    <row r="31">
      <c r="A31" s="4" t="n"/>
      <c r="B31" s="5" t="inlineStr">
        <is>
          <t>All notionals, MTMs, CSA terms are illustrative placeholders, not real trade data.</t>
        </is>
      </c>
      <c r="C31" s="4" t="n"/>
    </row>
    <row r="32">
      <c r="A32" s="4" t="n"/>
      <c r="B32" s="4" t="n"/>
      <c r="C32" s="4" t="n"/>
    </row>
    <row r="33">
      <c r="A33" s="4" t="n"/>
      <c r="B33" s="6" t="inlineStr">
        <is>
          <t>Simplifications</t>
        </is>
      </c>
      <c r="C33" s="4" t="n"/>
    </row>
    <row r="34">
      <c r="A34" s="4" t="n"/>
      <c r="B34" s="5" t="inlineStr">
        <is>
          <t>- All trades start today (S=0); 250-business-day year for MF/MPOR floors</t>
        </is>
      </c>
      <c r="C34" s="4" t="n"/>
    </row>
    <row r="35">
      <c r="A35" s="4" t="n"/>
      <c r="B35" s="5" t="inlineStr">
        <is>
          <t>- MPOR = standard 10-business-day floor throughout (no 20-day large/illiquid override)</t>
        </is>
      </c>
      <c r="C35" s="4" t="n"/>
    </row>
    <row r="36">
      <c r="A36" s="4" t="n"/>
      <c r="B36" s="5" t="inlineStr">
        <is>
          <t>- FX notional = given USD leg, no separate FX-rate revaluation</t>
        </is>
      </c>
      <c r="C36" s="4" t="n"/>
    </row>
    <row r="37">
      <c r="A37" s="4" t="n"/>
      <c r="B37" s="5" t="inlineStr">
        <is>
          <t>- Basis/volatility add-ons and BA-CVA out of scope</t>
        </is>
      </c>
      <c r="C37" s="4" t="n"/>
    </row>
    <row r="38">
      <c r="A38" s="4" t="n"/>
      <c r="B38" s="4" t="n"/>
      <c r="C38" s="4" t="n"/>
    </row>
    <row r="40">
      <c r="A40" s="63" t="inlineStr">
        <is>
          <t>BA-CVA extension (Reduced BA-CVA, no hedge recognition)</t>
        </is>
      </c>
    </row>
    <row r="41">
      <c r="A41" s="64" t="inlineStr">
        <is>
          <t>Source: Clarus Financial Technology 'FRTB - Basic Approach for CVA'; OSFI CAR 2026 Ch. 8 CVA Risk</t>
        </is>
      </c>
    </row>
    <row r="42">
      <c r="A42" s="64" t="inlineStr">
        <is>
          <t>SCVA_c = (1/alpha) x RW_c x sum_NS(M_NS x EAD_NS x DF_NS), alpha = 1.4</t>
        </is>
      </c>
    </row>
    <row r="43">
      <c r="A43" s="64" t="inlineStr">
        <is>
          <t>DF_NS = (1-EXP(-0.05*M_NS))/(0.05*M_NS)</t>
        </is>
      </c>
    </row>
    <row r="44">
      <c r="A44" s="64" t="inlineStr">
        <is>
          <t>K_reduced = SQRT[(rho x sum SCVA_c)^2 + (1-rho^2) x sum(SCVA_c^2)], rho = 0.5</t>
        </is>
      </c>
    </row>
    <row r="45">
      <c r="A45" s="64" t="inlineStr">
        <is>
          <t>BA-CVA capital charge = discount_scalar x K_reduced, discount_scalar = 0.65</t>
        </is>
      </c>
    </row>
    <row r="46">
      <c r="A46" s="64" t="inlineStr">
        <is>
          <t>M_NS is a notional-weighted average trade maturity per netting set, a documented proxy for Basel's cashflow-weighted effective maturity (no cashflow schedule in the sample data)</t>
        </is>
      </c>
    </row>
    <row r="47">
      <c r="A47" s="64" t="inlineStr">
        <is>
          <t>EAD_NS is each netting set's actual margin-status EAD from the Summary sheet (NS-A unmargined, NS-B margined)</t>
        </is>
      </c>
    </row>
    <row r="48">
      <c r="A48" s="64" t="inlineStr">
        <is>
          <t>Counterparty sector/credit quality (BACVA_Counterparties sheet) are new, illustrative assumptions</t>
        </is>
      </c>
    </row>
    <row r="49">
      <c r="A49" s="64" t="inlineStr">
        <is>
          <t>Sheets: BACVA_Params, BACVA_Counterparties, BACVA_Calc, BACVA_Summary</t>
        </is>
      </c>
    </row>
  </sheetData>
  <mergeCells count="1">
    <mergeCell ref="A1:C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zoomScaleNormal="100" workbookViewId="0">
      <selection activeCell="A1" sqref="A1:E1"/>
    </sheetView>
  </sheetViews>
  <sheetFormatPr baseColWidth="8" defaultColWidth="8.6328125" defaultRowHeight="14.5"/>
  <cols>
    <col width="16" customWidth="1" min="1" max="2"/>
    <col width="20" customWidth="1" min="3" max="3"/>
    <col width="12" customWidth="1" min="4" max="4"/>
    <col width="55" customWidth="1" min="5" max="5"/>
  </cols>
  <sheetData>
    <row r="1" ht="21.75" customHeight="1">
      <c r="A1" s="2" t="inlineStr">
        <is>
          <t>Supervisory Parameters (BIS d279, Annex 4) - all editable inputs (blue)</t>
        </is>
      </c>
    </row>
    <row r="3">
      <c r="A3" s="1" t="inlineStr">
        <is>
          <t>Supervisory Factors (SF) - Annex 4, Table 2</t>
        </is>
      </c>
    </row>
    <row r="4">
      <c r="A4" s="7" t="inlineStr">
        <is>
          <t>Asset Class</t>
        </is>
      </c>
      <c r="B4" s="7" t="inlineStr">
        <is>
          <t>Sub-Category</t>
        </is>
      </c>
      <c r="C4" s="7" t="inlineStr">
        <is>
          <t>Key</t>
        </is>
      </c>
      <c r="D4" s="7" t="inlineStr">
        <is>
          <t>SF</t>
        </is>
      </c>
      <c r="E4" s="7" t="inlineStr">
        <is>
          <t>Note</t>
        </is>
      </c>
    </row>
    <row r="5">
      <c r="A5" s="8" t="inlineStr">
        <is>
          <t>IR</t>
        </is>
      </c>
      <c r="B5" s="8" t="inlineStr">
        <is>
          <t>NA</t>
        </is>
      </c>
      <c r="C5" s="9">
        <f>A5&amp;"|"&amp;B5</f>
        <v/>
      </c>
      <c r="D5" s="10" t="n">
        <v>0.005</v>
      </c>
      <c r="E5" s="11" t="inlineStr">
        <is>
          <t>Flat factor, all currencies/tenors</t>
        </is>
      </c>
    </row>
    <row r="6">
      <c r="A6" s="8" t="inlineStr">
        <is>
          <t>FX</t>
        </is>
      </c>
      <c r="B6" s="8" t="inlineStr">
        <is>
          <t>NA</t>
        </is>
      </c>
      <c r="C6" s="9">
        <f>A6&amp;"|"&amp;B6</f>
        <v/>
      </c>
      <c r="D6" s="10" t="n">
        <v>0.04</v>
      </c>
      <c r="E6" s="11" t="inlineStr">
        <is>
          <t>Flat factor, all currency pairs</t>
        </is>
      </c>
    </row>
    <row r="7">
      <c r="A7" s="8" t="inlineStr">
        <is>
          <t>Credit</t>
        </is>
      </c>
      <c r="B7" s="8" t="inlineStr">
        <is>
          <t>BBB</t>
        </is>
      </c>
      <c r="C7" s="9">
        <f>A7&amp;"|"&amp;B7</f>
        <v/>
      </c>
      <c r="D7" s="10" t="n">
        <v>0.0054</v>
      </c>
      <c r="E7" s="11" t="inlineStr">
        <is>
          <t>Single-name, investment grade (BBB)</t>
        </is>
      </c>
    </row>
    <row r="8">
      <c r="A8" s="8" t="inlineStr">
        <is>
          <t>Credit</t>
        </is>
      </c>
      <c r="B8" s="8" t="inlineStr">
        <is>
          <t>IG_Index</t>
        </is>
      </c>
      <c r="C8" s="9">
        <f>A8&amp;"|"&amp;B8</f>
        <v/>
      </c>
      <c r="D8" s="10" t="n">
        <v>0.0038</v>
      </c>
      <c r="E8" s="11" t="inlineStr">
        <is>
          <t>Credit index, investment grade</t>
        </is>
      </c>
    </row>
    <row r="9">
      <c r="A9" s="8" t="inlineStr">
        <is>
          <t>Credit</t>
        </is>
      </c>
      <c r="B9" s="8" t="inlineStr">
        <is>
          <t>SubIG_Index</t>
        </is>
      </c>
      <c r="C9" s="9">
        <f>A9&amp;"|"&amp;B9</f>
        <v/>
      </c>
      <c r="D9" s="10" t="n">
        <v>0.0106</v>
      </c>
      <c r="E9" s="11" t="inlineStr">
        <is>
          <t>Credit index, sub-investment grade</t>
        </is>
      </c>
    </row>
    <row r="10">
      <c r="A10" s="8" t="inlineStr">
        <is>
          <t>Equity</t>
        </is>
      </c>
      <c r="B10" s="8" t="inlineStr">
        <is>
          <t>SingleName</t>
        </is>
      </c>
      <c r="C10" s="9">
        <f>A10&amp;"|"&amp;B10</f>
        <v/>
      </c>
      <c r="D10" s="10" t="n">
        <v>0.32</v>
      </c>
      <c r="E10" s="11" t="inlineStr">
        <is>
          <t>Single-name equity</t>
        </is>
      </c>
    </row>
    <row r="11">
      <c r="A11" s="8" t="inlineStr">
        <is>
          <t>Equity</t>
        </is>
      </c>
      <c r="B11" s="8" t="inlineStr">
        <is>
          <t>Index</t>
        </is>
      </c>
      <c r="C11" s="9">
        <f>A11&amp;"|"&amp;B11</f>
        <v/>
      </c>
      <c r="D11" s="10" t="n">
        <v>0.2</v>
      </c>
      <c r="E11" s="11" t="inlineStr">
        <is>
          <t>Equity index</t>
        </is>
      </c>
    </row>
    <row r="12">
      <c r="A12" s="8" t="inlineStr">
        <is>
          <t>Commodity</t>
        </is>
      </c>
      <c r="B12" s="8" t="inlineStr">
        <is>
          <t>Oil_Gas</t>
        </is>
      </c>
      <c r="C12" s="9">
        <f>A12&amp;"|"&amp;B12</f>
        <v/>
      </c>
      <c r="D12" s="10" t="n">
        <v>0.18</v>
      </c>
      <c r="E12" s="11" t="inlineStr">
        <is>
          <t>Oil/gas</t>
        </is>
      </c>
    </row>
    <row r="13">
      <c r="A13" s="8" t="inlineStr">
        <is>
          <t>Commodity</t>
        </is>
      </c>
      <c r="B13" s="8" t="inlineStr">
        <is>
          <t>Metal</t>
        </is>
      </c>
      <c r="C13" s="9">
        <f>A13&amp;"|"&amp;B13</f>
        <v/>
      </c>
      <c r="D13" s="10" t="n">
        <v>0.18</v>
      </c>
      <c r="E13" s="11" t="inlineStr">
        <is>
          <t>Metal</t>
        </is>
      </c>
    </row>
    <row r="15">
      <c r="A15" s="1" t="inlineStr">
        <is>
          <t>Regulatory Constants &amp; Correlations</t>
        </is>
      </c>
    </row>
    <row r="16">
      <c r="A16" s="7" t="inlineStr">
        <is>
          <t>Parameter</t>
        </is>
      </c>
      <c r="B16" s="7" t="inlineStr">
        <is>
          <t>Value</t>
        </is>
      </c>
      <c r="C16" s="7" t="n"/>
      <c r="D16" s="7" t="n"/>
      <c r="E16" s="7" t="inlineStr">
        <is>
          <t>Note</t>
        </is>
      </c>
    </row>
    <row r="17">
      <c r="A17" s="12" t="inlineStr">
        <is>
          <t>Alpha (regulatory multiplier)</t>
        </is>
      </c>
      <c r="B17" s="13" t="n">
        <v>1.4</v>
      </c>
      <c r="C17" s="14" t="n"/>
      <c r="D17" s="14" t="n"/>
      <c r="E17" s="11" t="inlineStr">
        <is>
          <t>BIS d279 para 121</t>
        </is>
      </c>
    </row>
    <row r="18">
      <c r="A18" s="12" t="inlineStr">
        <is>
          <t>Multiplier floor</t>
        </is>
      </c>
      <c r="B18" s="15" t="n">
        <v>0.05</v>
      </c>
      <c r="C18" s="14" t="n"/>
      <c r="D18" s="14" t="n"/>
      <c r="E18" s="11" t="inlineStr">
        <is>
          <t>BIS d279 para 149</t>
        </is>
      </c>
    </row>
    <row r="19">
      <c r="A19" s="12" t="inlineStr">
        <is>
          <t>IR cross-bucket correlation, adjacent buckets (1-2, 2-3)</t>
        </is>
      </c>
      <c r="B19" s="15" t="n">
        <v>0.7</v>
      </c>
      <c r="C19" s="14" t="n"/>
      <c r="D19" s="14" t="n"/>
      <c r="E19" s="11" t="inlineStr">
        <is>
          <t>Applied as 2x = 1.40x cross term</t>
        </is>
      </c>
    </row>
    <row r="20">
      <c r="A20" s="12" t="inlineStr">
        <is>
          <t>IR cross-bucket correlation, buckets 1-3</t>
        </is>
      </c>
      <c r="B20" s="15" t="n">
        <v>0.3</v>
      </c>
      <c r="C20" s="14" t="n"/>
      <c r="D20" s="14" t="n"/>
      <c r="E20" s="11" t="inlineStr">
        <is>
          <t>Applied as 2x = 0.60x cross term</t>
        </is>
      </c>
    </row>
    <row r="21">
      <c r="A21" s="12" t="inlineStr">
        <is>
          <t>Correlation (rho), single-name credit/equity</t>
        </is>
      </c>
      <c r="B21" s="15" t="n">
        <v>0.5</v>
      </c>
      <c r="C21" s="14" t="n"/>
      <c r="D21" s="14" t="n"/>
      <c r="E21" s="11" t="inlineStr">
        <is>
          <t>BIS d279 para 188 (credit), 190 (equity)</t>
        </is>
      </c>
    </row>
    <row r="22">
      <c r="A22" s="12" t="inlineStr">
        <is>
          <t>Correlation (rho), credit/equity index</t>
        </is>
      </c>
      <c r="B22" s="15" t="n">
        <v>0.8</v>
      </c>
      <c r="C22" s="14" t="n"/>
      <c r="D22" s="14" t="n"/>
      <c r="E22" s="11" t="inlineStr">
        <is>
          <t>Index constituents are more correlated</t>
        </is>
      </c>
    </row>
    <row r="23">
      <c r="A23" s="12" t="inlineStr">
        <is>
          <t>Correlation (rho), commodity (all types)</t>
        </is>
      </c>
      <c r="B23" s="15" t="n">
        <v>0.4</v>
      </c>
      <c r="C23" s="14" t="n"/>
      <c r="D23" s="14" t="n"/>
      <c r="E23" s="11" t="inlineStr">
        <is>
          <t>BIS d279 para 192</t>
        </is>
      </c>
    </row>
    <row r="24">
      <c r="A24" s="12" t="inlineStr">
        <is>
          <t>MPOR floor, standard netting set (business days)</t>
        </is>
      </c>
      <c r="B24" s="16" t="n">
        <v>10</v>
      </c>
      <c r="C24" s="14" t="n"/>
      <c r="D24" s="14" t="n"/>
      <c r="E24" s="11" t="inlineStr">
        <is>
          <t>BIS d279 para 164; 5d cleared / 20d large-or-illiquid not modeled</t>
        </is>
      </c>
    </row>
    <row r="25">
      <c r="A25" s="12" t="inlineStr">
        <is>
          <t>Unmargined maturity floor (business days)</t>
        </is>
      </c>
      <c r="B25" s="16" t="n">
        <v>10</v>
      </c>
      <c r="C25" s="14" t="n"/>
      <c r="D25" s="14" t="n"/>
      <c r="E25" s="11" t="inlineStr">
        <is>
          <t>BIS d279 para 159</t>
        </is>
      </c>
    </row>
    <row r="26">
      <c r="A26" s="12" t="inlineStr">
        <is>
          <t>Business days per year</t>
        </is>
      </c>
      <c r="B26" s="16" t="n">
        <v>250</v>
      </c>
      <c r="C26" s="14" t="n"/>
      <c r="D26" s="14" t="n"/>
      <c r="E26" s="11" t="inlineStr">
        <is>
          <t>Standard convention</t>
        </is>
      </c>
    </row>
    <row r="28">
      <c r="A28" s="17" t="inlineStr">
        <is>
          <t>MF, margined (standard MPOR floor) = 1.5 x sqrt(MPOR/1yr)</t>
        </is>
      </c>
      <c r="B28" s="18">
        <f>1.5*SQRT(Supervisory_Params!$B$24/Supervisory_Params!$B$26)</f>
        <v/>
      </c>
      <c r="C28" s="14" t="n"/>
      <c r="D28" s="14" t="n"/>
      <c r="E28" s="14" t="n"/>
    </row>
  </sheetData>
  <mergeCells count="3">
    <mergeCell ref="A15:E15"/>
    <mergeCell ref="A1:E1"/>
    <mergeCell ref="A3:E3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showGridLines="0" zoomScaleNormal="100" workbookViewId="0">
      <pane ySplit="3" topLeftCell="A4" activePane="bottomLeft" state="frozen"/>
      <selection pane="bottomLeft" activeCell="A1" sqref="A1:O1"/>
    </sheetView>
  </sheetViews>
  <sheetFormatPr baseColWidth="8" defaultColWidth="8.6328125" defaultRowHeight="14.5"/>
  <cols>
    <col width="18" customWidth="1" min="1" max="1"/>
    <col width="11" customWidth="1" min="2" max="3"/>
    <col width="12" customWidth="1" min="4" max="4"/>
    <col width="9" customWidth="1" min="5" max="6"/>
    <col width="8" customWidth="1" min="7" max="7"/>
    <col width="14" customWidth="1" min="8" max="8"/>
    <col width="7" customWidth="1" min="9" max="10"/>
    <col width="11" customWidth="1" min="11" max="11"/>
    <col width="10" customWidth="1" min="12" max="12"/>
    <col width="8" customWidth="1" min="13" max="13"/>
    <col width="12" customWidth="1" min="14" max="14"/>
    <col width="13" customWidth="1" min="15" max="15"/>
  </cols>
  <sheetData>
    <row r="1" ht="21.75" customHeight="1">
      <c r="A1" s="2" t="inlineStr">
        <is>
          <t>Trade Inputs - illustrative 18-trade sample portfolio (all cells blue = editable)</t>
        </is>
      </c>
    </row>
    <row r="3" ht="39" customHeight="1">
      <c r="A3" s="7" t="inlineStr">
        <is>
          <t>Trade ID</t>
        </is>
      </c>
      <c r="B3" s="7" t="inlineStr">
        <is>
          <t>Netting Set</t>
        </is>
      </c>
      <c r="C3" s="7" t="inlineStr">
        <is>
          <t>Asset Class</t>
        </is>
      </c>
      <c r="D3" s="7" t="inlineStr">
        <is>
          <t>Hedging Set</t>
        </is>
      </c>
      <c r="E3" s="7" t="inlineStr">
        <is>
          <t>Position</t>
        </is>
      </c>
      <c r="F3" s="7" t="inlineStr">
        <is>
          <t>Style</t>
        </is>
      </c>
      <c r="G3" s="7" t="inlineStr">
        <is>
          <t>Opt Type</t>
        </is>
      </c>
      <c r="H3" s="7" t="inlineStr">
        <is>
          <t>Notional (USD)</t>
        </is>
      </c>
      <c r="I3" s="7" t="inlineStr">
        <is>
          <t>Start S (yrs)</t>
        </is>
      </c>
      <c r="J3" s="7" t="inlineStr">
        <is>
          <t>Maturity M (yrs)</t>
        </is>
      </c>
      <c r="K3" s="7" t="inlineStr">
        <is>
          <t>Underlying Price</t>
        </is>
      </c>
      <c r="L3" s="7" t="inlineStr">
        <is>
          <t>Strike</t>
        </is>
      </c>
      <c r="M3" s="7" t="inlineStr">
        <is>
          <t>Vol (ann.)</t>
        </is>
      </c>
      <c r="N3" s="7" t="inlineStr">
        <is>
          <t>MTM (USD)</t>
        </is>
      </c>
      <c r="O3" s="7" t="inlineStr">
        <is>
          <t>Sub-Category</t>
        </is>
      </c>
    </row>
    <row r="4">
      <c r="A4" s="19" t="inlineStr">
        <is>
          <t>IRS-USD-5Y</t>
        </is>
      </c>
      <c r="B4" s="19" t="inlineStr">
        <is>
          <t>NS-A</t>
        </is>
      </c>
      <c r="C4" s="19" t="inlineStr">
        <is>
          <t>IR</t>
        </is>
      </c>
      <c r="D4" s="19" t="inlineStr">
        <is>
          <t>USD</t>
        </is>
      </c>
      <c r="E4" s="19" t="inlineStr">
        <is>
          <t>Long</t>
        </is>
      </c>
      <c r="F4" s="19" t="inlineStr">
        <is>
          <t>Linear</t>
        </is>
      </c>
      <c r="G4" s="19" t="inlineStr">
        <is>
          <t>NA</t>
        </is>
      </c>
      <c r="H4" s="20" t="n">
        <v>50000000</v>
      </c>
      <c r="I4" s="21" t="n">
        <v>0</v>
      </c>
      <c r="J4" s="21" t="n">
        <v>5</v>
      </c>
      <c r="K4" s="20" t="n"/>
      <c r="L4" s="20" t="n"/>
      <c r="M4" s="22" t="n"/>
      <c r="N4" s="20" t="n">
        <v>350000</v>
      </c>
      <c r="O4" s="19" t="inlineStr">
        <is>
          <t>NA</t>
        </is>
      </c>
    </row>
    <row r="5">
      <c r="A5" s="19" t="inlineStr">
        <is>
          <t>IRS-USD-2Y</t>
        </is>
      </c>
      <c r="B5" s="19" t="inlineStr">
        <is>
          <t>NS-A</t>
        </is>
      </c>
      <c r="C5" s="19" t="inlineStr">
        <is>
          <t>IR</t>
        </is>
      </c>
      <c r="D5" s="19" t="inlineStr">
        <is>
          <t>USD</t>
        </is>
      </c>
      <c r="E5" s="19" t="inlineStr">
        <is>
          <t>Short</t>
        </is>
      </c>
      <c r="F5" s="19" t="inlineStr">
        <is>
          <t>Linear</t>
        </is>
      </c>
      <c r="G5" s="19" t="inlineStr">
        <is>
          <t>NA</t>
        </is>
      </c>
      <c r="H5" s="20" t="n">
        <v>30000000</v>
      </c>
      <c r="I5" s="21" t="n">
        <v>0</v>
      </c>
      <c r="J5" s="21" t="n">
        <v>2</v>
      </c>
      <c r="K5" s="20" t="n"/>
      <c r="L5" s="20" t="n"/>
      <c r="M5" s="22" t="n"/>
      <c r="N5" s="20" t="n">
        <v>-120000</v>
      </c>
      <c r="O5" s="19" t="inlineStr">
        <is>
          <t>NA</t>
        </is>
      </c>
    </row>
    <row r="6">
      <c r="A6" s="19" t="inlineStr">
        <is>
          <t>IRS-EUR-7Y</t>
        </is>
      </c>
      <c r="B6" s="19" t="inlineStr">
        <is>
          <t>NS-A</t>
        </is>
      </c>
      <c r="C6" s="19" t="inlineStr">
        <is>
          <t>IR</t>
        </is>
      </c>
      <c r="D6" s="19" t="inlineStr">
        <is>
          <t>EUR</t>
        </is>
      </c>
      <c r="E6" s="19" t="inlineStr">
        <is>
          <t>Long</t>
        </is>
      </c>
      <c r="F6" s="19" t="inlineStr">
        <is>
          <t>Linear</t>
        </is>
      </c>
      <c r="G6" s="19" t="inlineStr">
        <is>
          <t>NA</t>
        </is>
      </c>
      <c r="H6" s="20" t="n">
        <v>20000000</v>
      </c>
      <c r="I6" s="21" t="n">
        <v>0</v>
      </c>
      <c r="J6" s="21" t="n">
        <v>7</v>
      </c>
      <c r="K6" s="20" t="n"/>
      <c r="L6" s="20" t="n"/>
      <c r="M6" s="22" t="n"/>
      <c r="N6" s="20" t="n">
        <v>210000</v>
      </c>
      <c r="O6" s="19" t="inlineStr">
        <is>
          <t>NA</t>
        </is>
      </c>
    </row>
    <row r="7">
      <c r="A7" s="19" t="inlineStr">
        <is>
          <t>FXFWD-EURUSD-1Y</t>
        </is>
      </c>
      <c r="B7" s="19" t="inlineStr">
        <is>
          <t>NS-A</t>
        </is>
      </c>
      <c r="C7" s="19" t="inlineStr">
        <is>
          <t>FX</t>
        </is>
      </c>
      <c r="D7" s="19" t="inlineStr">
        <is>
          <t>EURUSD</t>
        </is>
      </c>
      <c r="E7" s="19" t="inlineStr">
        <is>
          <t>Long</t>
        </is>
      </c>
      <c r="F7" s="19" t="inlineStr">
        <is>
          <t>Linear</t>
        </is>
      </c>
      <c r="G7" s="19" t="inlineStr">
        <is>
          <t>NA</t>
        </is>
      </c>
      <c r="H7" s="20" t="n">
        <v>15000000</v>
      </c>
      <c r="I7" s="21" t="n">
        <v>0</v>
      </c>
      <c r="J7" s="21" t="n">
        <v>1</v>
      </c>
      <c r="K7" s="20" t="n"/>
      <c r="L7" s="20" t="n"/>
      <c r="M7" s="22" t="n"/>
      <c r="N7" s="20" t="n">
        <v>45000</v>
      </c>
      <c r="O7" s="19" t="inlineStr">
        <is>
          <t>NA</t>
        </is>
      </c>
    </row>
    <row r="8">
      <c r="A8" s="19" t="inlineStr">
        <is>
          <t>FXFWD-GBPUSD-6M</t>
        </is>
      </c>
      <c r="B8" s="19" t="inlineStr">
        <is>
          <t>NS-A</t>
        </is>
      </c>
      <c r="C8" s="19" t="inlineStr">
        <is>
          <t>FX</t>
        </is>
      </c>
      <c r="D8" s="19" t="inlineStr">
        <is>
          <t>GBPUSD</t>
        </is>
      </c>
      <c r="E8" s="19" t="inlineStr">
        <is>
          <t>Short</t>
        </is>
      </c>
      <c r="F8" s="19" t="inlineStr">
        <is>
          <t>Linear</t>
        </is>
      </c>
      <c r="G8" s="19" t="inlineStr">
        <is>
          <t>NA</t>
        </is>
      </c>
      <c r="H8" s="20" t="n">
        <v>10000000</v>
      </c>
      <c r="I8" s="21" t="n">
        <v>0</v>
      </c>
      <c r="J8" s="21" t="n">
        <v>0.5</v>
      </c>
      <c r="K8" s="20" t="n"/>
      <c r="L8" s="20" t="n"/>
      <c r="M8" s="22" t="n"/>
      <c r="N8" s="20" t="n">
        <v>-30000</v>
      </c>
      <c r="O8" s="19" t="inlineStr">
        <is>
          <t>NA</t>
        </is>
      </c>
    </row>
    <row r="9">
      <c r="A9" s="19" t="inlineStr">
        <is>
          <t>FXOPT-USDJPY-9M</t>
        </is>
      </c>
      <c r="B9" s="19" t="inlineStr">
        <is>
          <t>NS-A</t>
        </is>
      </c>
      <c r="C9" s="19" t="inlineStr">
        <is>
          <t>FX</t>
        </is>
      </c>
      <c r="D9" s="19" t="inlineStr">
        <is>
          <t>USDJPY</t>
        </is>
      </c>
      <c r="E9" s="19" t="inlineStr">
        <is>
          <t>Long</t>
        </is>
      </c>
      <c r="F9" s="19" t="inlineStr">
        <is>
          <t>Option</t>
        </is>
      </c>
      <c r="G9" s="19" t="inlineStr">
        <is>
          <t>Call</t>
        </is>
      </c>
      <c r="H9" s="20" t="n">
        <v>8000000</v>
      </c>
      <c r="I9" s="21" t="n">
        <v>0</v>
      </c>
      <c r="J9" s="21" t="n">
        <v>0.75</v>
      </c>
      <c r="K9" s="20" t="n">
        <v>150</v>
      </c>
      <c r="L9" s="20" t="n">
        <v>152</v>
      </c>
      <c r="M9" s="22" t="n">
        <v>0.1</v>
      </c>
      <c r="N9" s="20" t="n">
        <v>60000</v>
      </c>
      <c r="O9" s="19" t="inlineStr">
        <is>
          <t>NA</t>
        </is>
      </c>
    </row>
    <row r="10">
      <c r="A10" s="19" t="inlineStr">
        <is>
          <t>CDS-SN-BBB-3Y</t>
        </is>
      </c>
      <c r="B10" s="19" t="inlineStr">
        <is>
          <t>NS-A</t>
        </is>
      </c>
      <c r="C10" s="19" t="inlineStr">
        <is>
          <t>Credit</t>
        </is>
      </c>
      <c r="D10" s="19" t="inlineStr">
        <is>
          <t>Corp_XYZ</t>
        </is>
      </c>
      <c r="E10" s="19" t="inlineStr">
        <is>
          <t>Long</t>
        </is>
      </c>
      <c r="F10" s="19" t="inlineStr">
        <is>
          <t>Linear</t>
        </is>
      </c>
      <c r="G10" s="19" t="inlineStr">
        <is>
          <t>NA</t>
        </is>
      </c>
      <c r="H10" s="20" t="n">
        <v>12000000</v>
      </c>
      <c r="I10" s="21" t="n">
        <v>0</v>
      </c>
      <c r="J10" s="21" t="n">
        <v>3</v>
      </c>
      <c r="K10" s="20" t="n"/>
      <c r="L10" s="20" t="n"/>
      <c r="M10" s="22" t="n"/>
      <c r="N10" s="20" t="n">
        <v>-25000</v>
      </c>
      <c r="O10" s="19" t="inlineStr">
        <is>
          <t>BBB</t>
        </is>
      </c>
    </row>
    <row r="11">
      <c r="A11" s="19" t="inlineStr">
        <is>
          <t>CDS-IDX-IG-5Y</t>
        </is>
      </c>
      <c r="B11" s="19" t="inlineStr">
        <is>
          <t>NS-A</t>
        </is>
      </c>
      <c r="C11" s="19" t="inlineStr">
        <is>
          <t>Credit</t>
        </is>
      </c>
      <c r="D11" s="19" t="inlineStr">
        <is>
          <t>CDX_IG</t>
        </is>
      </c>
      <c r="E11" s="19" t="inlineStr">
        <is>
          <t>Short</t>
        </is>
      </c>
      <c r="F11" s="19" t="inlineStr">
        <is>
          <t>Linear</t>
        </is>
      </c>
      <c r="G11" s="19" t="inlineStr">
        <is>
          <t>NA</t>
        </is>
      </c>
      <c r="H11" s="20" t="n">
        <v>25000000</v>
      </c>
      <c r="I11" s="21" t="n">
        <v>0</v>
      </c>
      <c r="J11" s="21" t="n">
        <v>5</v>
      </c>
      <c r="K11" s="20" t="n"/>
      <c r="L11" s="20" t="n"/>
      <c r="M11" s="22" t="n"/>
      <c r="N11" s="20" t="n">
        <v>40000</v>
      </c>
      <c r="O11" s="19" t="inlineStr">
        <is>
          <t>IG_Index</t>
        </is>
      </c>
    </row>
    <row r="12">
      <c r="A12" s="19" t="inlineStr">
        <is>
          <t>EQSWAP-SN-XYZ-2Y</t>
        </is>
      </c>
      <c r="B12" s="19" t="inlineStr">
        <is>
          <t>NS-A</t>
        </is>
      </c>
      <c r="C12" s="19" t="inlineStr">
        <is>
          <t>Equity</t>
        </is>
      </c>
      <c r="D12" s="19" t="inlineStr">
        <is>
          <t>Equity_XYZ</t>
        </is>
      </c>
      <c r="E12" s="19" t="inlineStr">
        <is>
          <t>Long</t>
        </is>
      </c>
      <c r="F12" s="19" t="inlineStr">
        <is>
          <t>Linear</t>
        </is>
      </c>
      <c r="G12" s="19" t="inlineStr">
        <is>
          <t>NA</t>
        </is>
      </c>
      <c r="H12" s="20" t="n">
        <v>6000000</v>
      </c>
      <c r="I12" s="21" t="n">
        <v>0</v>
      </c>
      <c r="J12" s="21" t="n">
        <v>2</v>
      </c>
      <c r="K12" s="20" t="n"/>
      <c r="L12" s="20" t="n"/>
      <c r="M12" s="22" t="n"/>
      <c r="N12" s="20" t="n">
        <v>15000</v>
      </c>
      <c r="O12" s="19" t="inlineStr">
        <is>
          <t>SingleName</t>
        </is>
      </c>
    </row>
    <row r="13">
      <c r="A13" s="19" t="inlineStr">
        <is>
          <t>EQOPT-IDX-SPX-1Y</t>
        </is>
      </c>
      <c r="B13" s="19" t="inlineStr">
        <is>
          <t>NS-A</t>
        </is>
      </c>
      <c r="C13" s="19" t="inlineStr">
        <is>
          <t>Equity</t>
        </is>
      </c>
      <c r="D13" s="19" t="inlineStr">
        <is>
          <t>Equity_SPX</t>
        </is>
      </c>
      <c r="E13" s="19" t="inlineStr">
        <is>
          <t>Long</t>
        </is>
      </c>
      <c r="F13" s="19" t="inlineStr">
        <is>
          <t>Option</t>
        </is>
      </c>
      <c r="G13" s="19" t="inlineStr">
        <is>
          <t>Put</t>
        </is>
      </c>
      <c r="H13" s="20" t="n">
        <v>10000000</v>
      </c>
      <c r="I13" s="21" t="n">
        <v>0</v>
      </c>
      <c r="J13" s="21" t="n">
        <v>1</v>
      </c>
      <c r="K13" s="20" t="n">
        <v>5000</v>
      </c>
      <c r="L13" s="20" t="n">
        <v>4800</v>
      </c>
      <c r="M13" s="22" t="n">
        <v>0.18</v>
      </c>
      <c r="N13" s="20" t="n">
        <v>-80000</v>
      </c>
      <c r="O13" s="19" t="inlineStr">
        <is>
          <t>Index</t>
        </is>
      </c>
    </row>
    <row r="14">
      <c r="A14" s="19" t="inlineStr">
        <is>
          <t>COMDTY-OIL-1Y</t>
        </is>
      </c>
      <c r="B14" s="19" t="inlineStr">
        <is>
          <t>NS-A</t>
        </is>
      </c>
      <c r="C14" s="19" t="inlineStr">
        <is>
          <t>Commodity</t>
        </is>
      </c>
      <c r="D14" s="19" t="inlineStr">
        <is>
          <t>Oil_Gas</t>
        </is>
      </c>
      <c r="E14" s="19" t="inlineStr">
        <is>
          <t>Long</t>
        </is>
      </c>
      <c r="F14" s="19" t="inlineStr">
        <is>
          <t>Linear</t>
        </is>
      </c>
      <c r="G14" s="19" t="inlineStr">
        <is>
          <t>NA</t>
        </is>
      </c>
      <c r="H14" s="20" t="n">
        <v>5000000</v>
      </c>
      <c r="I14" s="21" t="n">
        <v>0</v>
      </c>
      <c r="J14" s="21" t="n">
        <v>1</v>
      </c>
      <c r="K14" s="20" t="n"/>
      <c r="L14" s="20" t="n"/>
      <c r="M14" s="22" t="n"/>
      <c r="N14" s="20" t="n">
        <v>20000</v>
      </c>
      <c r="O14" s="19" t="inlineStr">
        <is>
          <t>Oil_Gas</t>
        </is>
      </c>
    </row>
    <row r="15">
      <c r="A15" s="19" t="inlineStr">
        <is>
          <t>COMDTY-GOLD-2Y</t>
        </is>
      </c>
      <c r="B15" s="19" t="inlineStr">
        <is>
          <t>NS-A</t>
        </is>
      </c>
      <c r="C15" s="19" t="inlineStr">
        <is>
          <t>Commodity</t>
        </is>
      </c>
      <c r="D15" s="19" t="inlineStr">
        <is>
          <t>Metal</t>
        </is>
      </c>
      <c r="E15" s="19" t="inlineStr">
        <is>
          <t>Short</t>
        </is>
      </c>
      <c r="F15" s="19" t="inlineStr">
        <is>
          <t>Linear</t>
        </is>
      </c>
      <c r="G15" s="19" t="inlineStr">
        <is>
          <t>NA</t>
        </is>
      </c>
      <c r="H15" s="20" t="n">
        <v>4000000</v>
      </c>
      <c r="I15" s="21" t="n">
        <v>0</v>
      </c>
      <c r="J15" s="21" t="n">
        <v>2</v>
      </c>
      <c r="K15" s="20" t="n"/>
      <c r="L15" s="20" t="n"/>
      <c r="M15" s="22" t="n"/>
      <c r="N15" s="20" t="n">
        <v>-10000</v>
      </c>
      <c r="O15" s="19" t="inlineStr">
        <is>
          <t>Metal</t>
        </is>
      </c>
    </row>
    <row r="16">
      <c r="A16" s="23" t="inlineStr">
        <is>
          <t>IRS-USD-10Y</t>
        </is>
      </c>
      <c r="B16" s="23" t="inlineStr">
        <is>
          <t>NS-B</t>
        </is>
      </c>
      <c r="C16" s="23" t="inlineStr">
        <is>
          <t>IR</t>
        </is>
      </c>
      <c r="D16" s="23" t="inlineStr">
        <is>
          <t>USD</t>
        </is>
      </c>
      <c r="E16" s="23" t="inlineStr">
        <is>
          <t>Long</t>
        </is>
      </c>
      <c r="F16" s="23" t="inlineStr">
        <is>
          <t>Linear</t>
        </is>
      </c>
      <c r="G16" s="23" t="inlineStr">
        <is>
          <t>NA</t>
        </is>
      </c>
      <c r="H16" s="24" t="n">
        <v>40000000</v>
      </c>
      <c r="I16" s="25" t="n">
        <v>0</v>
      </c>
      <c r="J16" s="25" t="n">
        <v>10</v>
      </c>
      <c r="K16" s="24" t="n"/>
      <c r="L16" s="24" t="n"/>
      <c r="M16" s="26" t="n"/>
      <c r="N16" s="24" t="n">
        <v>500000</v>
      </c>
      <c r="O16" s="23" t="inlineStr">
        <is>
          <t>NA</t>
        </is>
      </c>
    </row>
    <row r="17">
      <c r="A17" s="23" t="inlineStr">
        <is>
          <t>IRS-USD-3Y</t>
        </is>
      </c>
      <c r="B17" s="23" t="inlineStr">
        <is>
          <t>NS-B</t>
        </is>
      </c>
      <c r="C17" s="23" t="inlineStr">
        <is>
          <t>IR</t>
        </is>
      </c>
      <c r="D17" s="23" t="inlineStr">
        <is>
          <t>USD</t>
        </is>
      </c>
      <c r="E17" s="23" t="inlineStr">
        <is>
          <t>Short</t>
        </is>
      </c>
      <c r="F17" s="23" t="inlineStr">
        <is>
          <t>Linear</t>
        </is>
      </c>
      <c r="G17" s="23" t="inlineStr">
        <is>
          <t>NA</t>
        </is>
      </c>
      <c r="H17" s="24" t="n">
        <v>25000000</v>
      </c>
      <c r="I17" s="25" t="n">
        <v>0</v>
      </c>
      <c r="J17" s="25" t="n">
        <v>3</v>
      </c>
      <c r="K17" s="24" t="n"/>
      <c r="L17" s="24" t="n"/>
      <c r="M17" s="26" t="n"/>
      <c r="N17" s="24" t="n">
        <v>-90000</v>
      </c>
      <c r="O17" s="23" t="inlineStr">
        <is>
          <t>NA</t>
        </is>
      </c>
    </row>
    <row r="18">
      <c r="A18" s="23" t="inlineStr">
        <is>
          <t>FXFWD-EURUSD-2Y</t>
        </is>
      </c>
      <c r="B18" s="23" t="inlineStr">
        <is>
          <t>NS-B</t>
        </is>
      </c>
      <c r="C18" s="23" t="inlineStr">
        <is>
          <t>FX</t>
        </is>
      </c>
      <c r="D18" s="23" t="inlineStr">
        <is>
          <t>EURUSD</t>
        </is>
      </c>
      <c r="E18" s="23" t="inlineStr">
        <is>
          <t>Long</t>
        </is>
      </c>
      <c r="F18" s="23" t="inlineStr">
        <is>
          <t>Linear</t>
        </is>
      </c>
      <c r="G18" s="23" t="inlineStr">
        <is>
          <t>NA</t>
        </is>
      </c>
      <c r="H18" s="24" t="n">
        <v>18000000</v>
      </c>
      <c r="I18" s="25" t="n">
        <v>0</v>
      </c>
      <c r="J18" s="25" t="n">
        <v>2</v>
      </c>
      <c r="K18" s="24" t="n"/>
      <c r="L18" s="24" t="n"/>
      <c r="M18" s="26" t="n"/>
      <c r="N18" s="24" t="n">
        <v>55000</v>
      </c>
      <c r="O18" s="23" t="inlineStr">
        <is>
          <t>NA</t>
        </is>
      </c>
    </row>
    <row r="19">
      <c r="A19" s="23" t="inlineStr">
        <is>
          <t>FXFWD-USDJPY-1Y</t>
        </is>
      </c>
      <c r="B19" s="23" t="inlineStr">
        <is>
          <t>NS-B</t>
        </is>
      </c>
      <c r="C19" s="23" t="inlineStr">
        <is>
          <t>FX</t>
        </is>
      </c>
      <c r="D19" s="23" t="inlineStr">
        <is>
          <t>USDJPY</t>
        </is>
      </c>
      <c r="E19" s="23" t="inlineStr">
        <is>
          <t>Short</t>
        </is>
      </c>
      <c r="F19" s="23" t="inlineStr">
        <is>
          <t>Linear</t>
        </is>
      </c>
      <c r="G19" s="23" t="inlineStr">
        <is>
          <t>NA</t>
        </is>
      </c>
      <c r="H19" s="24" t="n">
        <v>12000000</v>
      </c>
      <c r="I19" s="25" t="n">
        <v>0</v>
      </c>
      <c r="J19" s="25" t="n">
        <v>1</v>
      </c>
      <c r="K19" s="24" t="n"/>
      <c r="L19" s="24" t="n"/>
      <c r="M19" s="26" t="n"/>
      <c r="N19" s="24" t="n">
        <v>-40000</v>
      </c>
      <c r="O19" s="23" t="inlineStr">
        <is>
          <t>NA</t>
        </is>
      </c>
    </row>
    <row r="20">
      <c r="A20" s="23" t="inlineStr">
        <is>
          <t>CDS-IDX-SUBIG-4Y</t>
        </is>
      </c>
      <c r="B20" s="23" t="inlineStr">
        <is>
          <t>NS-B</t>
        </is>
      </c>
      <c r="C20" s="23" t="inlineStr">
        <is>
          <t>Credit</t>
        </is>
      </c>
      <c r="D20" s="23" t="inlineStr">
        <is>
          <t>CDX_HY</t>
        </is>
      </c>
      <c r="E20" s="23" t="inlineStr">
        <is>
          <t>Long</t>
        </is>
      </c>
      <c r="F20" s="23" t="inlineStr">
        <is>
          <t>Linear</t>
        </is>
      </c>
      <c r="G20" s="23" t="inlineStr">
        <is>
          <t>NA</t>
        </is>
      </c>
      <c r="H20" s="24" t="n">
        <v>15000000</v>
      </c>
      <c r="I20" s="25" t="n">
        <v>0</v>
      </c>
      <c r="J20" s="25" t="n">
        <v>4</v>
      </c>
      <c r="K20" s="24" t="n"/>
      <c r="L20" s="24" t="n"/>
      <c r="M20" s="26" t="n"/>
      <c r="N20" s="24" t="n">
        <v>-35000</v>
      </c>
      <c r="O20" s="23" t="inlineStr">
        <is>
          <t>SubIG_Index</t>
        </is>
      </c>
    </row>
    <row r="21">
      <c r="A21" s="23" t="inlineStr">
        <is>
          <t>EQSWAP-IDX-SPX-3Y</t>
        </is>
      </c>
      <c r="B21" s="23" t="inlineStr">
        <is>
          <t>NS-B</t>
        </is>
      </c>
      <c r="C21" s="23" t="inlineStr">
        <is>
          <t>Equity</t>
        </is>
      </c>
      <c r="D21" s="23" t="inlineStr">
        <is>
          <t>Equity_SPX</t>
        </is>
      </c>
      <c r="E21" s="23" t="inlineStr">
        <is>
          <t>Long</t>
        </is>
      </c>
      <c r="F21" s="23" t="inlineStr">
        <is>
          <t>Linear</t>
        </is>
      </c>
      <c r="G21" s="23" t="inlineStr">
        <is>
          <t>NA</t>
        </is>
      </c>
      <c r="H21" s="24" t="n">
        <v>20000000</v>
      </c>
      <c r="I21" s="25" t="n">
        <v>0</v>
      </c>
      <c r="J21" s="25" t="n">
        <v>3</v>
      </c>
      <c r="K21" s="24" t="n"/>
      <c r="L21" s="24" t="n"/>
      <c r="M21" s="26" t="n"/>
      <c r="N21" s="24" t="n">
        <v>80000</v>
      </c>
      <c r="O21" s="23" t="inlineStr">
        <is>
          <t>Index</t>
        </is>
      </c>
    </row>
    <row r="23">
      <c r="A23" s="27" t="inlineStr">
        <is>
          <t>Legend:</t>
        </is>
      </c>
    </row>
    <row r="24">
      <c r="A24" s="28" t="inlineStr">
        <is>
          <t xml:space="preserve">  Blue fill (light blue) = Netting Set A trades (CORP-001, uncollateralised)</t>
        </is>
      </c>
    </row>
    <row r="25">
      <c r="A25" s="29" t="inlineStr">
        <is>
          <t xml:space="preserve">  Orange fill = Netting Set B trades (BANK-001, collateralised under two-way CSA)</t>
        </is>
      </c>
    </row>
    <row r="26">
      <c r="A26" s="30" t="inlineStr">
        <is>
          <t xml:space="preserve">  All values in blue font are editable inputs; nothing on this sheet is a formula.</t>
        </is>
      </c>
    </row>
  </sheetData>
  <mergeCells count="1">
    <mergeCell ref="A1:O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"/>
  <sheetViews>
    <sheetView showGridLines="0" zoomScaleNormal="100" workbookViewId="0">
      <pane ySplit="3" topLeftCell="A4" activePane="bottomLeft" state="frozen"/>
      <selection pane="bottomLeft" activeCell="A1" sqref="A1:Q1"/>
    </sheetView>
  </sheetViews>
  <sheetFormatPr baseColWidth="8" defaultColWidth="8.6328125" defaultRowHeight="14.5"/>
  <cols>
    <col width="18" customWidth="1" min="1" max="1"/>
    <col width="11" customWidth="1" min="2" max="3"/>
    <col width="12" customWidth="1" min="4" max="4"/>
    <col width="9" customWidth="1" min="5" max="6"/>
    <col width="8" customWidth="1" min="7" max="7"/>
    <col width="9" customWidth="1" min="8" max="9"/>
    <col width="15" customWidth="1" min="10" max="10"/>
    <col width="9" customWidth="1" min="11" max="13"/>
    <col width="17" customWidth="1" min="14" max="14"/>
    <col width="15" customWidth="1" min="15" max="15"/>
    <col width="10" customWidth="1" min="16" max="16"/>
    <col width="8" customWidth="1" min="17" max="17"/>
  </cols>
  <sheetData>
    <row r="1" ht="21.75" customHeight="1">
      <c r="A1" s="2" t="inlineStr">
        <is>
          <t>Calc Engine - per-trade SA-CCR waterfall (green = link to Trade_Inputs, black = formula)</t>
        </is>
      </c>
    </row>
    <row r="3" ht="39" customHeight="1">
      <c r="A3" s="7" t="inlineStr">
        <is>
          <t>Trade ID</t>
        </is>
      </c>
      <c r="B3" s="7" t="inlineStr">
        <is>
          <t>Netting Set</t>
        </is>
      </c>
      <c r="C3" s="7" t="inlineStr">
        <is>
          <t>Asset Class</t>
        </is>
      </c>
      <c r="D3" s="7" t="inlineStr">
        <is>
          <t>Hedging Set</t>
        </is>
      </c>
      <c r="E3" s="7" t="inlineStr">
        <is>
          <t>Position</t>
        </is>
      </c>
      <c r="F3" s="7" t="inlineStr">
        <is>
          <t>Style</t>
        </is>
      </c>
      <c r="G3" s="7" t="inlineStr">
        <is>
          <t>Opt Type</t>
        </is>
      </c>
      <c r="H3" s="7" t="inlineStr">
        <is>
          <t>Maturity M (yrs)</t>
        </is>
      </c>
      <c r="I3" s="7" t="inlineStr">
        <is>
          <t>Sup. Duration SD</t>
        </is>
      </c>
      <c r="J3" s="7" t="inlineStr">
        <is>
          <t>Adj. Notional d</t>
        </is>
      </c>
      <c r="K3" s="7" t="inlineStr">
        <is>
          <t>d1 (options)</t>
        </is>
      </c>
      <c r="L3" s="7" t="inlineStr">
        <is>
          <t>Sup. Delta</t>
        </is>
      </c>
      <c r="M3" s="7" t="inlineStr">
        <is>
          <t>MF Unmargined</t>
        </is>
      </c>
      <c r="N3" s="7" t="inlineStr">
        <is>
          <t>MF Margined</t>
        </is>
      </c>
      <c r="O3" s="7" t="inlineStr">
        <is>
          <t>EffNotional Unmarg.</t>
        </is>
      </c>
      <c r="P3" s="7" t="inlineStr">
        <is>
          <t>EffNotional Marg.</t>
        </is>
      </c>
      <c r="Q3" s="7" t="inlineStr">
        <is>
          <t>SF</t>
        </is>
      </c>
      <c r="R3" s="7" t="inlineStr">
        <is>
          <t>Corr (rho)</t>
        </is>
      </c>
    </row>
    <row r="4">
      <c r="A4" s="31">
        <f>Trade_Inputs!A4</f>
        <v/>
      </c>
      <c r="B4" s="31">
        <f>Trade_Inputs!B4</f>
        <v/>
      </c>
      <c r="C4" s="31">
        <f>Trade_Inputs!C4</f>
        <v/>
      </c>
      <c r="D4" s="31">
        <f>Trade_Inputs!D4</f>
        <v/>
      </c>
      <c r="E4" s="31">
        <f>Trade_Inputs!E4</f>
        <v/>
      </c>
      <c r="F4" s="31">
        <f>Trade_Inputs!F4</f>
        <v/>
      </c>
      <c r="G4" s="31">
        <f>Trade_Inputs!G4</f>
        <v/>
      </c>
      <c r="H4" s="32">
        <f>Trade_Inputs!J4</f>
        <v/>
      </c>
      <c r="I4" s="33">
        <f>IF(OR(C4="IR",C4="Credit"),(EXP(-0.05*Trade_Inputs!I4)-EXP(-0.05*Trade_Inputs!J4))/0.05,"")</f>
        <v/>
      </c>
      <c r="J4" s="34">
        <f>IF(OR(C4="IR",C4="Credit"),Trade_Inputs!H4*I4,Trade_Inputs!H4)</f>
        <v/>
      </c>
      <c r="K4" s="33">
        <f>IF(F4="Option",(LN(Trade_Inputs!K4/Trade_Inputs!L4)+0.5*Trade_Inputs!M4^2*Trade_Inputs!J4)/(Trade_Inputs!M4*SQRT(Trade_Inputs!J4)),"")</f>
        <v/>
      </c>
      <c r="L4" s="33">
        <f>IF(F4="Linear",IF(E4="Long",1,-1),IF(AND(F4="Option",G4="Call"),IF(E4="Long",NORMSDIST(K4),-NORMSDIST(K4)),IF(AND(F4="Option",G4="Put"),IF(E4="Long",-NORMSDIST(-K4),NORMSDIST(-K4)),"")))</f>
        <v/>
      </c>
      <c r="M4" s="33">
        <f>SQRT(MIN(MAX(H4,Supervisory_Params!$B$25/Supervisory_Params!$B$26),1))</f>
        <v/>
      </c>
      <c r="N4" s="33">
        <f>Supervisory_Params!$B$28</f>
        <v/>
      </c>
      <c r="O4" s="34">
        <f>L4*J4*M4</f>
        <v/>
      </c>
      <c r="P4" s="34">
        <f>L4*J4*N4</f>
        <v/>
      </c>
      <c r="Q4" s="35">
        <f>INDEX(Supervisory_Params!$D$5:$D$13,MATCH(C4&amp;"|"&amp;Trade_Inputs!O4,Supervisory_Params!$C$5:$C$13,0))</f>
        <v/>
      </c>
      <c r="R4" s="36">
        <f>IF(OR(C4="IR",C4="FX"),0,IF(C4="Commodity",Supervisory_Params!$B$23,IF(ISNUMBER(SEARCH("Index",Trade_Inputs!O4)),Supervisory_Params!$B$22,Supervisory_Params!$B$21)))</f>
        <v/>
      </c>
    </row>
    <row r="5">
      <c r="A5" s="31">
        <f>Trade_Inputs!A5</f>
        <v/>
      </c>
      <c r="B5" s="31">
        <f>Trade_Inputs!B5</f>
        <v/>
      </c>
      <c r="C5" s="31">
        <f>Trade_Inputs!C5</f>
        <v/>
      </c>
      <c r="D5" s="31">
        <f>Trade_Inputs!D5</f>
        <v/>
      </c>
      <c r="E5" s="31">
        <f>Trade_Inputs!E5</f>
        <v/>
      </c>
      <c r="F5" s="31">
        <f>Trade_Inputs!F5</f>
        <v/>
      </c>
      <c r="G5" s="31">
        <f>Trade_Inputs!G5</f>
        <v/>
      </c>
      <c r="H5" s="32">
        <f>Trade_Inputs!J5</f>
        <v/>
      </c>
      <c r="I5" s="33">
        <f>IF(OR(C5="IR",C5="Credit"),(EXP(-0.05*Trade_Inputs!I5)-EXP(-0.05*Trade_Inputs!J5))/0.05,"")</f>
        <v/>
      </c>
      <c r="J5" s="34">
        <f>IF(OR(C5="IR",C5="Credit"),Trade_Inputs!H5*I5,Trade_Inputs!H5)</f>
        <v/>
      </c>
      <c r="K5" s="33">
        <f>IF(F5="Option",(LN(Trade_Inputs!K5/Trade_Inputs!L5)+0.5*Trade_Inputs!M5^2*Trade_Inputs!J5)/(Trade_Inputs!M5*SQRT(Trade_Inputs!J5)),"")</f>
        <v/>
      </c>
      <c r="L5" s="33">
        <f>IF(F5="Linear",IF(E5="Long",1,-1),IF(AND(F5="Option",G5="Call"),IF(E5="Long",NORMSDIST(K5),-NORMSDIST(K5)),IF(AND(F5="Option",G5="Put"),IF(E5="Long",-NORMSDIST(-K5),NORMSDIST(-K5)),"")))</f>
        <v/>
      </c>
      <c r="M5" s="33">
        <f>SQRT(MIN(MAX(H5,Supervisory_Params!$B$25/Supervisory_Params!$B$26),1))</f>
        <v/>
      </c>
      <c r="N5" s="33">
        <f>Supervisory_Params!$B$28</f>
        <v/>
      </c>
      <c r="O5" s="34">
        <f>L5*J5*M5</f>
        <v/>
      </c>
      <c r="P5" s="34">
        <f>L5*J5*N5</f>
        <v/>
      </c>
      <c r="Q5" s="35">
        <f>INDEX(Supervisory_Params!$D$5:$D$13,MATCH(C5&amp;"|"&amp;Trade_Inputs!O5,Supervisory_Params!$C$5:$C$13,0))</f>
        <v/>
      </c>
      <c r="R5" s="36">
        <f>IF(OR(C5="IR",C5="FX"),0,IF(C5="Commodity",Supervisory_Params!$B$23,IF(ISNUMBER(SEARCH("Index",Trade_Inputs!O5)),Supervisory_Params!$B$22,Supervisory_Params!$B$21)))</f>
        <v/>
      </c>
    </row>
    <row r="6">
      <c r="A6" s="31">
        <f>Trade_Inputs!A6</f>
        <v/>
      </c>
      <c r="B6" s="31">
        <f>Trade_Inputs!B6</f>
        <v/>
      </c>
      <c r="C6" s="31">
        <f>Trade_Inputs!C6</f>
        <v/>
      </c>
      <c r="D6" s="31">
        <f>Trade_Inputs!D6</f>
        <v/>
      </c>
      <c r="E6" s="31">
        <f>Trade_Inputs!E6</f>
        <v/>
      </c>
      <c r="F6" s="31">
        <f>Trade_Inputs!F6</f>
        <v/>
      </c>
      <c r="G6" s="31">
        <f>Trade_Inputs!G6</f>
        <v/>
      </c>
      <c r="H6" s="32">
        <f>Trade_Inputs!J6</f>
        <v/>
      </c>
      <c r="I6" s="33">
        <f>IF(OR(C6="IR",C6="Credit"),(EXP(-0.05*Trade_Inputs!I6)-EXP(-0.05*Trade_Inputs!J6))/0.05,"")</f>
        <v/>
      </c>
      <c r="J6" s="34">
        <f>IF(OR(C6="IR",C6="Credit"),Trade_Inputs!H6*I6,Trade_Inputs!H6)</f>
        <v/>
      </c>
      <c r="K6" s="33">
        <f>IF(F6="Option",(LN(Trade_Inputs!K6/Trade_Inputs!L6)+0.5*Trade_Inputs!M6^2*Trade_Inputs!J6)/(Trade_Inputs!M6*SQRT(Trade_Inputs!J6)),"")</f>
        <v/>
      </c>
      <c r="L6" s="33">
        <f>IF(F6="Linear",IF(E6="Long",1,-1),IF(AND(F6="Option",G6="Call"),IF(E6="Long",NORMSDIST(K6),-NORMSDIST(K6)),IF(AND(F6="Option",G6="Put"),IF(E6="Long",-NORMSDIST(-K6),NORMSDIST(-K6)),"")))</f>
        <v/>
      </c>
      <c r="M6" s="33">
        <f>SQRT(MIN(MAX(H6,Supervisory_Params!$B$25/Supervisory_Params!$B$26),1))</f>
        <v/>
      </c>
      <c r="N6" s="33">
        <f>Supervisory_Params!$B$28</f>
        <v/>
      </c>
      <c r="O6" s="34">
        <f>L6*J6*M6</f>
        <v/>
      </c>
      <c r="P6" s="34">
        <f>L6*J6*N6</f>
        <v/>
      </c>
      <c r="Q6" s="35">
        <f>INDEX(Supervisory_Params!$D$5:$D$13,MATCH(C6&amp;"|"&amp;Trade_Inputs!O6,Supervisory_Params!$C$5:$C$13,0))</f>
        <v/>
      </c>
      <c r="R6" s="36">
        <f>IF(OR(C6="IR",C6="FX"),0,IF(C6="Commodity",Supervisory_Params!$B$23,IF(ISNUMBER(SEARCH("Index",Trade_Inputs!O6)),Supervisory_Params!$B$22,Supervisory_Params!$B$21)))</f>
        <v/>
      </c>
    </row>
    <row r="7">
      <c r="A7" s="31">
        <f>Trade_Inputs!A7</f>
        <v/>
      </c>
      <c r="B7" s="31">
        <f>Trade_Inputs!B7</f>
        <v/>
      </c>
      <c r="C7" s="31">
        <f>Trade_Inputs!C7</f>
        <v/>
      </c>
      <c r="D7" s="31">
        <f>Trade_Inputs!D7</f>
        <v/>
      </c>
      <c r="E7" s="31">
        <f>Trade_Inputs!E7</f>
        <v/>
      </c>
      <c r="F7" s="31">
        <f>Trade_Inputs!F7</f>
        <v/>
      </c>
      <c r="G7" s="31">
        <f>Trade_Inputs!G7</f>
        <v/>
      </c>
      <c r="H7" s="32">
        <f>Trade_Inputs!J7</f>
        <v/>
      </c>
      <c r="I7" s="33">
        <f>IF(OR(C7="IR",C7="Credit"),(EXP(-0.05*Trade_Inputs!I7)-EXP(-0.05*Trade_Inputs!J7))/0.05,"")</f>
        <v/>
      </c>
      <c r="J7" s="34">
        <f>IF(OR(C7="IR",C7="Credit"),Trade_Inputs!H7*I7,Trade_Inputs!H7)</f>
        <v/>
      </c>
      <c r="K7" s="33">
        <f>IF(F7="Option",(LN(Trade_Inputs!K7/Trade_Inputs!L7)+0.5*Trade_Inputs!M7^2*Trade_Inputs!J7)/(Trade_Inputs!M7*SQRT(Trade_Inputs!J7)),"")</f>
        <v/>
      </c>
      <c r="L7" s="33">
        <f>IF(F7="Linear",IF(E7="Long",1,-1),IF(AND(F7="Option",G7="Call"),IF(E7="Long",NORMSDIST(K7),-NORMSDIST(K7)),IF(AND(F7="Option",G7="Put"),IF(E7="Long",-NORMSDIST(-K7),NORMSDIST(-K7)),"")))</f>
        <v/>
      </c>
      <c r="M7" s="33">
        <f>SQRT(MIN(MAX(H7,Supervisory_Params!$B$25/Supervisory_Params!$B$26),1))</f>
        <v/>
      </c>
      <c r="N7" s="33">
        <f>Supervisory_Params!$B$28</f>
        <v/>
      </c>
      <c r="O7" s="34">
        <f>L7*J7*M7</f>
        <v/>
      </c>
      <c r="P7" s="34">
        <f>L7*J7*N7</f>
        <v/>
      </c>
      <c r="Q7" s="35">
        <f>INDEX(Supervisory_Params!$D$5:$D$13,MATCH(C7&amp;"|"&amp;Trade_Inputs!O7,Supervisory_Params!$C$5:$C$13,0))</f>
        <v/>
      </c>
      <c r="R7" s="36">
        <f>IF(OR(C7="IR",C7="FX"),0,IF(C7="Commodity",Supervisory_Params!$B$23,IF(ISNUMBER(SEARCH("Index",Trade_Inputs!O7)),Supervisory_Params!$B$22,Supervisory_Params!$B$21)))</f>
        <v/>
      </c>
    </row>
    <row r="8">
      <c r="A8" s="31">
        <f>Trade_Inputs!A8</f>
        <v/>
      </c>
      <c r="B8" s="31">
        <f>Trade_Inputs!B8</f>
        <v/>
      </c>
      <c r="C8" s="31">
        <f>Trade_Inputs!C8</f>
        <v/>
      </c>
      <c r="D8" s="31">
        <f>Trade_Inputs!D8</f>
        <v/>
      </c>
      <c r="E8" s="31">
        <f>Trade_Inputs!E8</f>
        <v/>
      </c>
      <c r="F8" s="31">
        <f>Trade_Inputs!F8</f>
        <v/>
      </c>
      <c r="G8" s="31">
        <f>Trade_Inputs!G8</f>
        <v/>
      </c>
      <c r="H8" s="32">
        <f>Trade_Inputs!J8</f>
        <v/>
      </c>
      <c r="I8" s="33">
        <f>IF(OR(C8="IR",C8="Credit"),(EXP(-0.05*Trade_Inputs!I8)-EXP(-0.05*Trade_Inputs!J8))/0.05,"")</f>
        <v/>
      </c>
      <c r="J8" s="34">
        <f>IF(OR(C8="IR",C8="Credit"),Trade_Inputs!H8*I8,Trade_Inputs!H8)</f>
        <v/>
      </c>
      <c r="K8" s="33">
        <f>IF(F8="Option",(LN(Trade_Inputs!K8/Trade_Inputs!L8)+0.5*Trade_Inputs!M8^2*Trade_Inputs!J8)/(Trade_Inputs!M8*SQRT(Trade_Inputs!J8)),"")</f>
        <v/>
      </c>
      <c r="L8" s="33">
        <f>IF(F8="Linear",IF(E8="Long",1,-1),IF(AND(F8="Option",G8="Call"),IF(E8="Long",NORMSDIST(K8),-NORMSDIST(K8)),IF(AND(F8="Option",G8="Put"),IF(E8="Long",-NORMSDIST(-K8),NORMSDIST(-K8)),"")))</f>
        <v/>
      </c>
      <c r="M8" s="33">
        <f>SQRT(MIN(MAX(H8,Supervisory_Params!$B$25/Supervisory_Params!$B$26),1))</f>
        <v/>
      </c>
      <c r="N8" s="33">
        <f>Supervisory_Params!$B$28</f>
        <v/>
      </c>
      <c r="O8" s="34">
        <f>L8*J8*M8</f>
        <v/>
      </c>
      <c r="P8" s="34">
        <f>L8*J8*N8</f>
        <v/>
      </c>
      <c r="Q8" s="35">
        <f>INDEX(Supervisory_Params!$D$5:$D$13,MATCH(C8&amp;"|"&amp;Trade_Inputs!O8,Supervisory_Params!$C$5:$C$13,0))</f>
        <v/>
      </c>
      <c r="R8" s="36">
        <f>IF(OR(C8="IR",C8="FX"),0,IF(C8="Commodity",Supervisory_Params!$B$23,IF(ISNUMBER(SEARCH("Index",Trade_Inputs!O8)),Supervisory_Params!$B$22,Supervisory_Params!$B$21)))</f>
        <v/>
      </c>
    </row>
    <row r="9">
      <c r="A9" s="31">
        <f>Trade_Inputs!A9</f>
        <v/>
      </c>
      <c r="B9" s="31">
        <f>Trade_Inputs!B9</f>
        <v/>
      </c>
      <c r="C9" s="31">
        <f>Trade_Inputs!C9</f>
        <v/>
      </c>
      <c r="D9" s="31">
        <f>Trade_Inputs!D9</f>
        <v/>
      </c>
      <c r="E9" s="31">
        <f>Trade_Inputs!E9</f>
        <v/>
      </c>
      <c r="F9" s="31">
        <f>Trade_Inputs!F9</f>
        <v/>
      </c>
      <c r="G9" s="31">
        <f>Trade_Inputs!G9</f>
        <v/>
      </c>
      <c r="H9" s="32">
        <f>Trade_Inputs!J9</f>
        <v/>
      </c>
      <c r="I9" s="33">
        <f>IF(OR(C9="IR",C9="Credit"),(EXP(-0.05*Trade_Inputs!I9)-EXP(-0.05*Trade_Inputs!J9))/0.05,"")</f>
        <v/>
      </c>
      <c r="J9" s="34">
        <f>IF(OR(C9="IR",C9="Credit"),Trade_Inputs!H9*I9,Trade_Inputs!H9)</f>
        <v/>
      </c>
      <c r="K9" s="33">
        <f>IF(F9="Option",(LN(Trade_Inputs!K9/Trade_Inputs!L9)+0.5*Trade_Inputs!M9^2*Trade_Inputs!J9)/(Trade_Inputs!M9*SQRT(Trade_Inputs!J9)),"")</f>
        <v/>
      </c>
      <c r="L9" s="33">
        <f>IF(F9="Linear",IF(E9="Long",1,-1),IF(AND(F9="Option",G9="Call"),IF(E9="Long",NORMSDIST(K9),-NORMSDIST(K9)),IF(AND(F9="Option",G9="Put"),IF(E9="Long",-NORMSDIST(-K9),NORMSDIST(-K9)),"")))</f>
        <v/>
      </c>
      <c r="M9" s="33">
        <f>SQRT(MIN(MAX(H9,Supervisory_Params!$B$25/Supervisory_Params!$B$26),1))</f>
        <v/>
      </c>
      <c r="N9" s="33">
        <f>Supervisory_Params!$B$28</f>
        <v/>
      </c>
      <c r="O9" s="34">
        <f>L9*J9*M9</f>
        <v/>
      </c>
      <c r="P9" s="34">
        <f>L9*J9*N9</f>
        <v/>
      </c>
      <c r="Q9" s="35">
        <f>INDEX(Supervisory_Params!$D$5:$D$13,MATCH(C9&amp;"|"&amp;Trade_Inputs!O9,Supervisory_Params!$C$5:$C$13,0))</f>
        <v/>
      </c>
      <c r="R9" s="36">
        <f>IF(OR(C9="IR",C9="FX"),0,IF(C9="Commodity",Supervisory_Params!$B$23,IF(ISNUMBER(SEARCH("Index",Trade_Inputs!O9)),Supervisory_Params!$B$22,Supervisory_Params!$B$21)))</f>
        <v/>
      </c>
    </row>
    <row r="10">
      <c r="A10" s="31">
        <f>Trade_Inputs!A10</f>
        <v/>
      </c>
      <c r="B10" s="31">
        <f>Trade_Inputs!B10</f>
        <v/>
      </c>
      <c r="C10" s="31">
        <f>Trade_Inputs!C10</f>
        <v/>
      </c>
      <c r="D10" s="31">
        <f>Trade_Inputs!D10</f>
        <v/>
      </c>
      <c r="E10" s="31">
        <f>Trade_Inputs!E10</f>
        <v/>
      </c>
      <c r="F10" s="31">
        <f>Trade_Inputs!F10</f>
        <v/>
      </c>
      <c r="G10" s="31">
        <f>Trade_Inputs!G10</f>
        <v/>
      </c>
      <c r="H10" s="32">
        <f>Trade_Inputs!J10</f>
        <v/>
      </c>
      <c r="I10" s="33">
        <f>IF(OR(C10="IR",C10="Credit"),(EXP(-0.05*Trade_Inputs!I10)-EXP(-0.05*Trade_Inputs!J10))/0.05,"")</f>
        <v/>
      </c>
      <c r="J10" s="34">
        <f>IF(OR(C10="IR",C10="Credit"),Trade_Inputs!H10*I10,Trade_Inputs!H10)</f>
        <v/>
      </c>
      <c r="K10" s="33">
        <f>IF(F10="Option",(LN(Trade_Inputs!K10/Trade_Inputs!L10)+0.5*Trade_Inputs!M10^2*Trade_Inputs!J10)/(Trade_Inputs!M10*SQRT(Trade_Inputs!J10)),"")</f>
        <v/>
      </c>
      <c r="L10" s="33">
        <f>IF(F10="Linear",IF(E10="Long",1,-1),IF(AND(F10="Option",G10="Call"),IF(E10="Long",NORMSDIST(K10),-NORMSDIST(K10)),IF(AND(F10="Option",G10="Put"),IF(E10="Long",-NORMSDIST(-K10),NORMSDIST(-K10)),"")))</f>
        <v/>
      </c>
      <c r="M10" s="33">
        <f>SQRT(MIN(MAX(H10,Supervisory_Params!$B$25/Supervisory_Params!$B$26),1))</f>
        <v/>
      </c>
      <c r="N10" s="33">
        <f>Supervisory_Params!$B$28</f>
        <v/>
      </c>
      <c r="O10" s="34">
        <f>L10*J10*M10</f>
        <v/>
      </c>
      <c r="P10" s="34">
        <f>L10*J10*N10</f>
        <v/>
      </c>
      <c r="Q10" s="35">
        <f>INDEX(Supervisory_Params!$D$5:$D$13,MATCH(C10&amp;"|"&amp;Trade_Inputs!O10,Supervisory_Params!$C$5:$C$13,0))</f>
        <v/>
      </c>
      <c r="R10" s="36">
        <f>IF(OR(C10="IR",C10="FX"),0,IF(C10="Commodity",Supervisory_Params!$B$23,IF(ISNUMBER(SEARCH("Index",Trade_Inputs!O10)),Supervisory_Params!$B$22,Supervisory_Params!$B$21)))</f>
        <v/>
      </c>
    </row>
    <row r="11">
      <c r="A11" s="31">
        <f>Trade_Inputs!A11</f>
        <v/>
      </c>
      <c r="B11" s="31">
        <f>Trade_Inputs!B11</f>
        <v/>
      </c>
      <c r="C11" s="31">
        <f>Trade_Inputs!C11</f>
        <v/>
      </c>
      <c r="D11" s="31">
        <f>Trade_Inputs!D11</f>
        <v/>
      </c>
      <c r="E11" s="31">
        <f>Trade_Inputs!E11</f>
        <v/>
      </c>
      <c r="F11" s="31">
        <f>Trade_Inputs!F11</f>
        <v/>
      </c>
      <c r="G11" s="31">
        <f>Trade_Inputs!G11</f>
        <v/>
      </c>
      <c r="H11" s="32">
        <f>Trade_Inputs!J11</f>
        <v/>
      </c>
      <c r="I11" s="33">
        <f>IF(OR(C11="IR",C11="Credit"),(EXP(-0.05*Trade_Inputs!I11)-EXP(-0.05*Trade_Inputs!J11))/0.05,"")</f>
        <v/>
      </c>
      <c r="J11" s="34">
        <f>IF(OR(C11="IR",C11="Credit"),Trade_Inputs!H11*I11,Trade_Inputs!H11)</f>
        <v/>
      </c>
      <c r="K11" s="33">
        <f>IF(F11="Option",(LN(Trade_Inputs!K11/Trade_Inputs!L11)+0.5*Trade_Inputs!M11^2*Trade_Inputs!J11)/(Trade_Inputs!M11*SQRT(Trade_Inputs!J11)),"")</f>
        <v/>
      </c>
      <c r="L11" s="33">
        <f>IF(F11="Linear",IF(E11="Long",1,-1),IF(AND(F11="Option",G11="Call"),IF(E11="Long",NORMSDIST(K11),-NORMSDIST(K11)),IF(AND(F11="Option",G11="Put"),IF(E11="Long",-NORMSDIST(-K11),NORMSDIST(-K11)),"")))</f>
        <v/>
      </c>
      <c r="M11" s="33">
        <f>SQRT(MIN(MAX(H11,Supervisory_Params!$B$25/Supervisory_Params!$B$26),1))</f>
        <v/>
      </c>
      <c r="N11" s="33">
        <f>Supervisory_Params!$B$28</f>
        <v/>
      </c>
      <c r="O11" s="34">
        <f>L11*J11*M11</f>
        <v/>
      </c>
      <c r="P11" s="34">
        <f>L11*J11*N11</f>
        <v/>
      </c>
      <c r="Q11" s="35">
        <f>INDEX(Supervisory_Params!$D$5:$D$13,MATCH(C11&amp;"|"&amp;Trade_Inputs!O11,Supervisory_Params!$C$5:$C$13,0))</f>
        <v/>
      </c>
      <c r="R11" s="36">
        <f>IF(OR(C11="IR",C11="FX"),0,IF(C11="Commodity",Supervisory_Params!$B$23,IF(ISNUMBER(SEARCH("Index",Trade_Inputs!O11)),Supervisory_Params!$B$22,Supervisory_Params!$B$21)))</f>
        <v/>
      </c>
    </row>
    <row r="12">
      <c r="A12" s="31">
        <f>Trade_Inputs!A12</f>
        <v/>
      </c>
      <c r="B12" s="31">
        <f>Trade_Inputs!B12</f>
        <v/>
      </c>
      <c r="C12" s="31">
        <f>Trade_Inputs!C12</f>
        <v/>
      </c>
      <c r="D12" s="31">
        <f>Trade_Inputs!D12</f>
        <v/>
      </c>
      <c r="E12" s="31">
        <f>Trade_Inputs!E12</f>
        <v/>
      </c>
      <c r="F12" s="31">
        <f>Trade_Inputs!F12</f>
        <v/>
      </c>
      <c r="G12" s="31">
        <f>Trade_Inputs!G12</f>
        <v/>
      </c>
      <c r="H12" s="32">
        <f>Trade_Inputs!J12</f>
        <v/>
      </c>
      <c r="I12" s="33">
        <f>IF(OR(C12="IR",C12="Credit"),(EXP(-0.05*Trade_Inputs!I12)-EXP(-0.05*Trade_Inputs!J12))/0.05,"")</f>
        <v/>
      </c>
      <c r="J12" s="34">
        <f>IF(OR(C12="IR",C12="Credit"),Trade_Inputs!H12*I12,Trade_Inputs!H12)</f>
        <v/>
      </c>
      <c r="K12" s="33">
        <f>IF(F12="Option",(LN(Trade_Inputs!K12/Trade_Inputs!L12)+0.5*Trade_Inputs!M12^2*Trade_Inputs!J12)/(Trade_Inputs!M12*SQRT(Trade_Inputs!J12)),"")</f>
        <v/>
      </c>
      <c r="L12" s="33">
        <f>IF(F12="Linear",IF(E12="Long",1,-1),IF(AND(F12="Option",G12="Call"),IF(E12="Long",NORMSDIST(K12),-NORMSDIST(K12)),IF(AND(F12="Option",G12="Put"),IF(E12="Long",-NORMSDIST(-K12),NORMSDIST(-K12)),"")))</f>
        <v/>
      </c>
      <c r="M12" s="33">
        <f>SQRT(MIN(MAX(H12,Supervisory_Params!$B$25/Supervisory_Params!$B$26),1))</f>
        <v/>
      </c>
      <c r="N12" s="33">
        <f>Supervisory_Params!$B$28</f>
        <v/>
      </c>
      <c r="O12" s="34">
        <f>L12*J12*M12</f>
        <v/>
      </c>
      <c r="P12" s="34">
        <f>L12*J12*N12</f>
        <v/>
      </c>
      <c r="Q12" s="35">
        <f>INDEX(Supervisory_Params!$D$5:$D$13,MATCH(C12&amp;"|"&amp;Trade_Inputs!O12,Supervisory_Params!$C$5:$C$13,0))</f>
        <v/>
      </c>
      <c r="R12" s="36">
        <f>IF(OR(C12="IR",C12="FX"),0,IF(C12="Commodity",Supervisory_Params!$B$23,IF(ISNUMBER(SEARCH("Index",Trade_Inputs!O12)),Supervisory_Params!$B$22,Supervisory_Params!$B$21)))</f>
        <v/>
      </c>
    </row>
    <row r="13">
      <c r="A13" s="31">
        <f>Trade_Inputs!A13</f>
        <v/>
      </c>
      <c r="B13" s="31">
        <f>Trade_Inputs!B13</f>
        <v/>
      </c>
      <c r="C13" s="31">
        <f>Trade_Inputs!C13</f>
        <v/>
      </c>
      <c r="D13" s="31">
        <f>Trade_Inputs!D13</f>
        <v/>
      </c>
      <c r="E13" s="31">
        <f>Trade_Inputs!E13</f>
        <v/>
      </c>
      <c r="F13" s="31">
        <f>Trade_Inputs!F13</f>
        <v/>
      </c>
      <c r="G13" s="31">
        <f>Trade_Inputs!G13</f>
        <v/>
      </c>
      <c r="H13" s="32">
        <f>Trade_Inputs!J13</f>
        <v/>
      </c>
      <c r="I13" s="33">
        <f>IF(OR(C13="IR",C13="Credit"),(EXP(-0.05*Trade_Inputs!I13)-EXP(-0.05*Trade_Inputs!J13))/0.05,"")</f>
        <v/>
      </c>
      <c r="J13" s="34">
        <f>IF(OR(C13="IR",C13="Credit"),Trade_Inputs!H13*I13,Trade_Inputs!H13)</f>
        <v/>
      </c>
      <c r="K13" s="33">
        <f>IF(F13="Option",(LN(Trade_Inputs!K13/Trade_Inputs!L13)+0.5*Trade_Inputs!M13^2*Trade_Inputs!J13)/(Trade_Inputs!M13*SQRT(Trade_Inputs!J13)),"")</f>
        <v/>
      </c>
      <c r="L13" s="33">
        <f>IF(F13="Linear",IF(E13="Long",1,-1),IF(AND(F13="Option",G13="Call"),IF(E13="Long",NORMSDIST(K13),-NORMSDIST(K13)),IF(AND(F13="Option",G13="Put"),IF(E13="Long",-NORMSDIST(-K13),NORMSDIST(-K13)),"")))</f>
        <v/>
      </c>
      <c r="M13" s="33">
        <f>SQRT(MIN(MAX(H13,Supervisory_Params!$B$25/Supervisory_Params!$B$26),1))</f>
        <v/>
      </c>
      <c r="N13" s="33">
        <f>Supervisory_Params!$B$28</f>
        <v/>
      </c>
      <c r="O13" s="34">
        <f>L13*J13*M13</f>
        <v/>
      </c>
      <c r="P13" s="34">
        <f>L13*J13*N13</f>
        <v/>
      </c>
      <c r="Q13" s="35">
        <f>INDEX(Supervisory_Params!$D$5:$D$13,MATCH(C13&amp;"|"&amp;Trade_Inputs!O13,Supervisory_Params!$C$5:$C$13,0))</f>
        <v/>
      </c>
      <c r="R13" s="36">
        <f>IF(OR(C13="IR",C13="FX"),0,IF(C13="Commodity",Supervisory_Params!$B$23,IF(ISNUMBER(SEARCH("Index",Trade_Inputs!O13)),Supervisory_Params!$B$22,Supervisory_Params!$B$21)))</f>
        <v/>
      </c>
    </row>
    <row r="14">
      <c r="A14" s="31">
        <f>Trade_Inputs!A14</f>
        <v/>
      </c>
      <c r="B14" s="31">
        <f>Trade_Inputs!B14</f>
        <v/>
      </c>
      <c r="C14" s="31">
        <f>Trade_Inputs!C14</f>
        <v/>
      </c>
      <c r="D14" s="31">
        <f>Trade_Inputs!D14</f>
        <v/>
      </c>
      <c r="E14" s="31">
        <f>Trade_Inputs!E14</f>
        <v/>
      </c>
      <c r="F14" s="31">
        <f>Trade_Inputs!F14</f>
        <v/>
      </c>
      <c r="G14" s="31">
        <f>Trade_Inputs!G14</f>
        <v/>
      </c>
      <c r="H14" s="32">
        <f>Trade_Inputs!J14</f>
        <v/>
      </c>
      <c r="I14" s="33">
        <f>IF(OR(C14="IR",C14="Credit"),(EXP(-0.05*Trade_Inputs!I14)-EXP(-0.05*Trade_Inputs!J14))/0.05,"")</f>
        <v/>
      </c>
      <c r="J14" s="34">
        <f>IF(OR(C14="IR",C14="Credit"),Trade_Inputs!H14*I14,Trade_Inputs!H14)</f>
        <v/>
      </c>
      <c r="K14" s="33">
        <f>IF(F14="Option",(LN(Trade_Inputs!K14/Trade_Inputs!L14)+0.5*Trade_Inputs!M14^2*Trade_Inputs!J14)/(Trade_Inputs!M14*SQRT(Trade_Inputs!J14)),"")</f>
        <v/>
      </c>
      <c r="L14" s="33">
        <f>IF(F14="Linear",IF(E14="Long",1,-1),IF(AND(F14="Option",G14="Call"),IF(E14="Long",NORMSDIST(K14),-NORMSDIST(K14)),IF(AND(F14="Option",G14="Put"),IF(E14="Long",-NORMSDIST(-K14),NORMSDIST(-K14)),"")))</f>
        <v/>
      </c>
      <c r="M14" s="33">
        <f>SQRT(MIN(MAX(H14,Supervisory_Params!$B$25/Supervisory_Params!$B$26),1))</f>
        <v/>
      </c>
      <c r="N14" s="33">
        <f>Supervisory_Params!$B$28</f>
        <v/>
      </c>
      <c r="O14" s="34">
        <f>L14*J14*M14</f>
        <v/>
      </c>
      <c r="P14" s="34">
        <f>L14*J14*N14</f>
        <v/>
      </c>
      <c r="Q14" s="35">
        <f>INDEX(Supervisory_Params!$D$5:$D$13,MATCH(C14&amp;"|"&amp;Trade_Inputs!O14,Supervisory_Params!$C$5:$C$13,0))</f>
        <v/>
      </c>
      <c r="R14" s="36">
        <f>IF(OR(C14="IR",C14="FX"),0,IF(C14="Commodity",Supervisory_Params!$B$23,IF(ISNUMBER(SEARCH("Index",Trade_Inputs!O14)),Supervisory_Params!$B$22,Supervisory_Params!$B$21)))</f>
        <v/>
      </c>
    </row>
    <row r="15">
      <c r="A15" s="31">
        <f>Trade_Inputs!A15</f>
        <v/>
      </c>
      <c r="B15" s="31">
        <f>Trade_Inputs!B15</f>
        <v/>
      </c>
      <c r="C15" s="31">
        <f>Trade_Inputs!C15</f>
        <v/>
      </c>
      <c r="D15" s="31">
        <f>Trade_Inputs!D15</f>
        <v/>
      </c>
      <c r="E15" s="31">
        <f>Trade_Inputs!E15</f>
        <v/>
      </c>
      <c r="F15" s="31">
        <f>Trade_Inputs!F15</f>
        <v/>
      </c>
      <c r="G15" s="31">
        <f>Trade_Inputs!G15</f>
        <v/>
      </c>
      <c r="H15" s="32">
        <f>Trade_Inputs!J15</f>
        <v/>
      </c>
      <c r="I15" s="33">
        <f>IF(OR(C15="IR",C15="Credit"),(EXP(-0.05*Trade_Inputs!I15)-EXP(-0.05*Trade_Inputs!J15))/0.05,"")</f>
        <v/>
      </c>
      <c r="J15" s="34">
        <f>IF(OR(C15="IR",C15="Credit"),Trade_Inputs!H15*I15,Trade_Inputs!H15)</f>
        <v/>
      </c>
      <c r="K15" s="33">
        <f>IF(F15="Option",(LN(Trade_Inputs!K15/Trade_Inputs!L15)+0.5*Trade_Inputs!M15^2*Trade_Inputs!J15)/(Trade_Inputs!M15*SQRT(Trade_Inputs!J15)),"")</f>
        <v/>
      </c>
      <c r="L15" s="33">
        <f>IF(F15="Linear",IF(E15="Long",1,-1),IF(AND(F15="Option",G15="Call"),IF(E15="Long",NORMSDIST(K15),-NORMSDIST(K15)),IF(AND(F15="Option",G15="Put"),IF(E15="Long",-NORMSDIST(-K15),NORMSDIST(-K15)),"")))</f>
        <v/>
      </c>
      <c r="M15" s="33">
        <f>SQRT(MIN(MAX(H15,Supervisory_Params!$B$25/Supervisory_Params!$B$26),1))</f>
        <v/>
      </c>
      <c r="N15" s="33">
        <f>Supervisory_Params!$B$28</f>
        <v/>
      </c>
      <c r="O15" s="34">
        <f>L15*J15*M15</f>
        <v/>
      </c>
      <c r="P15" s="34">
        <f>L15*J15*N15</f>
        <v/>
      </c>
      <c r="Q15" s="35">
        <f>INDEX(Supervisory_Params!$D$5:$D$13,MATCH(C15&amp;"|"&amp;Trade_Inputs!O15,Supervisory_Params!$C$5:$C$13,0))</f>
        <v/>
      </c>
      <c r="R15" s="36">
        <f>IF(OR(C15="IR",C15="FX"),0,IF(C15="Commodity",Supervisory_Params!$B$23,IF(ISNUMBER(SEARCH("Index",Trade_Inputs!O15)),Supervisory_Params!$B$22,Supervisory_Params!$B$21)))</f>
        <v/>
      </c>
    </row>
    <row r="16">
      <c r="A16" s="37">
        <f>Trade_Inputs!A16</f>
        <v/>
      </c>
      <c r="B16" s="37">
        <f>Trade_Inputs!B16</f>
        <v/>
      </c>
      <c r="C16" s="37">
        <f>Trade_Inputs!C16</f>
        <v/>
      </c>
      <c r="D16" s="37">
        <f>Trade_Inputs!D16</f>
        <v/>
      </c>
      <c r="E16" s="37">
        <f>Trade_Inputs!E16</f>
        <v/>
      </c>
      <c r="F16" s="37">
        <f>Trade_Inputs!F16</f>
        <v/>
      </c>
      <c r="G16" s="37">
        <f>Trade_Inputs!G16</f>
        <v/>
      </c>
      <c r="H16" s="38">
        <f>Trade_Inputs!J16</f>
        <v/>
      </c>
      <c r="I16" s="39">
        <f>IF(OR(C16="IR",C16="Credit"),(EXP(-0.05*Trade_Inputs!I16)-EXP(-0.05*Trade_Inputs!J16))/0.05,"")</f>
        <v/>
      </c>
      <c r="J16" s="40">
        <f>IF(OR(C16="IR",C16="Credit"),Trade_Inputs!H16*I16,Trade_Inputs!H16)</f>
        <v/>
      </c>
      <c r="K16" s="39">
        <f>IF(F16="Option",(LN(Trade_Inputs!K16/Trade_Inputs!L16)+0.5*Trade_Inputs!M16^2*Trade_Inputs!J16)/(Trade_Inputs!M16*SQRT(Trade_Inputs!J16)),"")</f>
        <v/>
      </c>
      <c r="L16" s="39">
        <f>IF(F16="Linear",IF(E16="Long",1,-1),IF(AND(F16="Option",G16="Call"),IF(E16="Long",NORMSDIST(K16),-NORMSDIST(K16)),IF(AND(F16="Option",G16="Put"),IF(E16="Long",-NORMSDIST(-K16),NORMSDIST(-K16)),"")))</f>
        <v/>
      </c>
      <c r="M16" s="39">
        <f>SQRT(MIN(MAX(H16,Supervisory_Params!$B$25/Supervisory_Params!$B$26),1))</f>
        <v/>
      </c>
      <c r="N16" s="39">
        <f>Supervisory_Params!$B$28</f>
        <v/>
      </c>
      <c r="O16" s="40">
        <f>L16*J16*M16</f>
        <v/>
      </c>
      <c r="P16" s="40">
        <f>L16*J16*N16</f>
        <v/>
      </c>
      <c r="Q16" s="41">
        <f>INDEX(Supervisory_Params!$D$5:$D$13,MATCH(C16&amp;"|"&amp;Trade_Inputs!O16,Supervisory_Params!$C$5:$C$13,0))</f>
        <v/>
      </c>
      <c r="R16" s="42">
        <f>IF(OR(C16="IR",C16="FX"),0,IF(C16="Commodity",Supervisory_Params!$B$23,IF(ISNUMBER(SEARCH("Index",Trade_Inputs!O16)),Supervisory_Params!$B$22,Supervisory_Params!$B$21)))</f>
        <v/>
      </c>
    </row>
    <row r="17">
      <c r="A17" s="37">
        <f>Trade_Inputs!A17</f>
        <v/>
      </c>
      <c r="B17" s="37">
        <f>Trade_Inputs!B17</f>
        <v/>
      </c>
      <c r="C17" s="37">
        <f>Trade_Inputs!C17</f>
        <v/>
      </c>
      <c r="D17" s="37">
        <f>Trade_Inputs!D17</f>
        <v/>
      </c>
      <c r="E17" s="37">
        <f>Trade_Inputs!E17</f>
        <v/>
      </c>
      <c r="F17" s="37">
        <f>Trade_Inputs!F17</f>
        <v/>
      </c>
      <c r="G17" s="37">
        <f>Trade_Inputs!G17</f>
        <v/>
      </c>
      <c r="H17" s="38">
        <f>Trade_Inputs!J17</f>
        <v/>
      </c>
      <c r="I17" s="39">
        <f>IF(OR(C17="IR",C17="Credit"),(EXP(-0.05*Trade_Inputs!I17)-EXP(-0.05*Trade_Inputs!J17))/0.05,"")</f>
        <v/>
      </c>
      <c r="J17" s="40">
        <f>IF(OR(C17="IR",C17="Credit"),Trade_Inputs!H17*I17,Trade_Inputs!H17)</f>
        <v/>
      </c>
      <c r="K17" s="39">
        <f>IF(F17="Option",(LN(Trade_Inputs!K17/Trade_Inputs!L17)+0.5*Trade_Inputs!M17^2*Trade_Inputs!J17)/(Trade_Inputs!M17*SQRT(Trade_Inputs!J17)),"")</f>
        <v/>
      </c>
      <c r="L17" s="39">
        <f>IF(F17="Linear",IF(E17="Long",1,-1),IF(AND(F17="Option",G17="Call"),IF(E17="Long",NORMSDIST(K17),-NORMSDIST(K17)),IF(AND(F17="Option",G17="Put"),IF(E17="Long",-NORMSDIST(-K17),NORMSDIST(-K17)),"")))</f>
        <v/>
      </c>
      <c r="M17" s="39">
        <f>SQRT(MIN(MAX(H17,Supervisory_Params!$B$25/Supervisory_Params!$B$26),1))</f>
        <v/>
      </c>
      <c r="N17" s="39">
        <f>Supervisory_Params!$B$28</f>
        <v/>
      </c>
      <c r="O17" s="40">
        <f>L17*J17*M17</f>
        <v/>
      </c>
      <c r="P17" s="40">
        <f>L17*J17*N17</f>
        <v/>
      </c>
      <c r="Q17" s="41">
        <f>INDEX(Supervisory_Params!$D$5:$D$13,MATCH(C17&amp;"|"&amp;Trade_Inputs!O17,Supervisory_Params!$C$5:$C$13,0))</f>
        <v/>
      </c>
      <c r="R17" s="42">
        <f>IF(OR(C17="IR",C17="FX"),0,IF(C17="Commodity",Supervisory_Params!$B$23,IF(ISNUMBER(SEARCH("Index",Trade_Inputs!O17)),Supervisory_Params!$B$22,Supervisory_Params!$B$21)))</f>
        <v/>
      </c>
    </row>
    <row r="18">
      <c r="A18" s="37">
        <f>Trade_Inputs!A18</f>
        <v/>
      </c>
      <c r="B18" s="37">
        <f>Trade_Inputs!B18</f>
        <v/>
      </c>
      <c r="C18" s="37">
        <f>Trade_Inputs!C18</f>
        <v/>
      </c>
      <c r="D18" s="37">
        <f>Trade_Inputs!D18</f>
        <v/>
      </c>
      <c r="E18" s="37">
        <f>Trade_Inputs!E18</f>
        <v/>
      </c>
      <c r="F18" s="37">
        <f>Trade_Inputs!F18</f>
        <v/>
      </c>
      <c r="G18" s="37">
        <f>Trade_Inputs!G18</f>
        <v/>
      </c>
      <c r="H18" s="38">
        <f>Trade_Inputs!J18</f>
        <v/>
      </c>
      <c r="I18" s="39">
        <f>IF(OR(C18="IR",C18="Credit"),(EXP(-0.05*Trade_Inputs!I18)-EXP(-0.05*Trade_Inputs!J18))/0.05,"")</f>
        <v/>
      </c>
      <c r="J18" s="40">
        <f>IF(OR(C18="IR",C18="Credit"),Trade_Inputs!H18*I18,Trade_Inputs!H18)</f>
        <v/>
      </c>
      <c r="K18" s="39">
        <f>IF(F18="Option",(LN(Trade_Inputs!K18/Trade_Inputs!L18)+0.5*Trade_Inputs!M18^2*Trade_Inputs!J18)/(Trade_Inputs!M18*SQRT(Trade_Inputs!J18)),"")</f>
        <v/>
      </c>
      <c r="L18" s="39">
        <f>IF(F18="Linear",IF(E18="Long",1,-1),IF(AND(F18="Option",G18="Call"),IF(E18="Long",NORMSDIST(K18),-NORMSDIST(K18)),IF(AND(F18="Option",G18="Put"),IF(E18="Long",-NORMSDIST(-K18),NORMSDIST(-K18)),"")))</f>
        <v/>
      </c>
      <c r="M18" s="39">
        <f>SQRT(MIN(MAX(H18,Supervisory_Params!$B$25/Supervisory_Params!$B$26),1))</f>
        <v/>
      </c>
      <c r="N18" s="39">
        <f>Supervisory_Params!$B$28</f>
        <v/>
      </c>
      <c r="O18" s="40">
        <f>L18*J18*M18</f>
        <v/>
      </c>
      <c r="P18" s="40">
        <f>L18*J18*N18</f>
        <v/>
      </c>
      <c r="Q18" s="41">
        <f>INDEX(Supervisory_Params!$D$5:$D$13,MATCH(C18&amp;"|"&amp;Trade_Inputs!O18,Supervisory_Params!$C$5:$C$13,0))</f>
        <v/>
      </c>
      <c r="R18" s="42">
        <f>IF(OR(C18="IR",C18="FX"),0,IF(C18="Commodity",Supervisory_Params!$B$23,IF(ISNUMBER(SEARCH("Index",Trade_Inputs!O18)),Supervisory_Params!$B$22,Supervisory_Params!$B$21)))</f>
        <v/>
      </c>
    </row>
    <row r="19">
      <c r="A19" s="37">
        <f>Trade_Inputs!A19</f>
        <v/>
      </c>
      <c r="B19" s="37">
        <f>Trade_Inputs!B19</f>
        <v/>
      </c>
      <c r="C19" s="37">
        <f>Trade_Inputs!C19</f>
        <v/>
      </c>
      <c r="D19" s="37">
        <f>Trade_Inputs!D19</f>
        <v/>
      </c>
      <c r="E19" s="37">
        <f>Trade_Inputs!E19</f>
        <v/>
      </c>
      <c r="F19" s="37">
        <f>Trade_Inputs!F19</f>
        <v/>
      </c>
      <c r="G19" s="37">
        <f>Trade_Inputs!G19</f>
        <v/>
      </c>
      <c r="H19" s="38">
        <f>Trade_Inputs!J19</f>
        <v/>
      </c>
      <c r="I19" s="39">
        <f>IF(OR(C19="IR",C19="Credit"),(EXP(-0.05*Trade_Inputs!I19)-EXP(-0.05*Trade_Inputs!J19))/0.05,"")</f>
        <v/>
      </c>
      <c r="J19" s="40">
        <f>IF(OR(C19="IR",C19="Credit"),Trade_Inputs!H19*I19,Trade_Inputs!H19)</f>
        <v/>
      </c>
      <c r="K19" s="39">
        <f>IF(F19="Option",(LN(Trade_Inputs!K19/Trade_Inputs!L19)+0.5*Trade_Inputs!M19^2*Trade_Inputs!J19)/(Trade_Inputs!M19*SQRT(Trade_Inputs!J19)),"")</f>
        <v/>
      </c>
      <c r="L19" s="39">
        <f>IF(F19="Linear",IF(E19="Long",1,-1),IF(AND(F19="Option",G19="Call"),IF(E19="Long",NORMSDIST(K19),-NORMSDIST(K19)),IF(AND(F19="Option",G19="Put"),IF(E19="Long",-NORMSDIST(-K19),NORMSDIST(-K19)),"")))</f>
        <v/>
      </c>
      <c r="M19" s="39">
        <f>SQRT(MIN(MAX(H19,Supervisory_Params!$B$25/Supervisory_Params!$B$26),1))</f>
        <v/>
      </c>
      <c r="N19" s="39">
        <f>Supervisory_Params!$B$28</f>
        <v/>
      </c>
      <c r="O19" s="40">
        <f>L19*J19*M19</f>
        <v/>
      </c>
      <c r="P19" s="40">
        <f>L19*J19*N19</f>
        <v/>
      </c>
      <c r="Q19" s="41">
        <f>INDEX(Supervisory_Params!$D$5:$D$13,MATCH(C19&amp;"|"&amp;Trade_Inputs!O19,Supervisory_Params!$C$5:$C$13,0))</f>
        <v/>
      </c>
      <c r="R19" s="42">
        <f>IF(OR(C19="IR",C19="FX"),0,IF(C19="Commodity",Supervisory_Params!$B$23,IF(ISNUMBER(SEARCH("Index",Trade_Inputs!O19)),Supervisory_Params!$B$22,Supervisory_Params!$B$21)))</f>
        <v/>
      </c>
    </row>
    <row r="20">
      <c r="A20" s="37">
        <f>Trade_Inputs!A20</f>
        <v/>
      </c>
      <c r="B20" s="37">
        <f>Trade_Inputs!B20</f>
        <v/>
      </c>
      <c r="C20" s="37">
        <f>Trade_Inputs!C20</f>
        <v/>
      </c>
      <c r="D20" s="37">
        <f>Trade_Inputs!D20</f>
        <v/>
      </c>
      <c r="E20" s="37">
        <f>Trade_Inputs!E20</f>
        <v/>
      </c>
      <c r="F20" s="37">
        <f>Trade_Inputs!F20</f>
        <v/>
      </c>
      <c r="G20" s="37">
        <f>Trade_Inputs!G20</f>
        <v/>
      </c>
      <c r="H20" s="38">
        <f>Trade_Inputs!J20</f>
        <v/>
      </c>
      <c r="I20" s="39">
        <f>IF(OR(C20="IR",C20="Credit"),(EXP(-0.05*Trade_Inputs!I20)-EXP(-0.05*Trade_Inputs!J20))/0.05,"")</f>
        <v/>
      </c>
      <c r="J20" s="40">
        <f>IF(OR(C20="IR",C20="Credit"),Trade_Inputs!H20*I20,Trade_Inputs!H20)</f>
        <v/>
      </c>
      <c r="K20" s="39">
        <f>IF(F20="Option",(LN(Trade_Inputs!K20/Trade_Inputs!L20)+0.5*Trade_Inputs!M20^2*Trade_Inputs!J20)/(Trade_Inputs!M20*SQRT(Trade_Inputs!J20)),"")</f>
        <v/>
      </c>
      <c r="L20" s="39">
        <f>IF(F20="Linear",IF(E20="Long",1,-1),IF(AND(F20="Option",G20="Call"),IF(E20="Long",NORMSDIST(K20),-NORMSDIST(K20)),IF(AND(F20="Option",G20="Put"),IF(E20="Long",-NORMSDIST(-K20),NORMSDIST(-K20)),"")))</f>
        <v/>
      </c>
      <c r="M20" s="39">
        <f>SQRT(MIN(MAX(H20,Supervisory_Params!$B$25/Supervisory_Params!$B$26),1))</f>
        <v/>
      </c>
      <c r="N20" s="39">
        <f>Supervisory_Params!$B$28</f>
        <v/>
      </c>
      <c r="O20" s="40">
        <f>L20*J20*M20</f>
        <v/>
      </c>
      <c r="P20" s="40">
        <f>L20*J20*N20</f>
        <v/>
      </c>
      <c r="Q20" s="41">
        <f>INDEX(Supervisory_Params!$D$5:$D$13,MATCH(C20&amp;"|"&amp;Trade_Inputs!O20,Supervisory_Params!$C$5:$C$13,0))</f>
        <v/>
      </c>
      <c r="R20" s="42">
        <f>IF(OR(C20="IR",C20="FX"),0,IF(C20="Commodity",Supervisory_Params!$B$23,IF(ISNUMBER(SEARCH("Index",Trade_Inputs!O20)),Supervisory_Params!$B$22,Supervisory_Params!$B$21)))</f>
        <v/>
      </c>
    </row>
    <row r="21">
      <c r="A21" s="37">
        <f>Trade_Inputs!A21</f>
        <v/>
      </c>
      <c r="B21" s="37">
        <f>Trade_Inputs!B21</f>
        <v/>
      </c>
      <c r="C21" s="37">
        <f>Trade_Inputs!C21</f>
        <v/>
      </c>
      <c r="D21" s="37">
        <f>Trade_Inputs!D21</f>
        <v/>
      </c>
      <c r="E21" s="37">
        <f>Trade_Inputs!E21</f>
        <v/>
      </c>
      <c r="F21" s="37">
        <f>Trade_Inputs!F21</f>
        <v/>
      </c>
      <c r="G21" s="37">
        <f>Trade_Inputs!G21</f>
        <v/>
      </c>
      <c r="H21" s="38">
        <f>Trade_Inputs!J21</f>
        <v/>
      </c>
      <c r="I21" s="39">
        <f>IF(OR(C21="IR",C21="Credit"),(EXP(-0.05*Trade_Inputs!I21)-EXP(-0.05*Trade_Inputs!J21))/0.05,"")</f>
        <v/>
      </c>
      <c r="J21" s="40">
        <f>IF(OR(C21="IR",C21="Credit"),Trade_Inputs!H21*I21,Trade_Inputs!H21)</f>
        <v/>
      </c>
      <c r="K21" s="39">
        <f>IF(F21="Option",(LN(Trade_Inputs!K21/Trade_Inputs!L21)+0.5*Trade_Inputs!M21^2*Trade_Inputs!J21)/(Trade_Inputs!M21*SQRT(Trade_Inputs!J21)),"")</f>
        <v/>
      </c>
      <c r="L21" s="39">
        <f>IF(F21="Linear",IF(E21="Long",1,-1),IF(AND(F21="Option",G21="Call"),IF(E21="Long",NORMSDIST(K21),-NORMSDIST(K21)),IF(AND(F21="Option",G21="Put"),IF(E21="Long",-NORMSDIST(-K21),NORMSDIST(-K21)),"")))</f>
        <v/>
      </c>
      <c r="M21" s="39">
        <f>SQRT(MIN(MAX(H21,Supervisory_Params!$B$25/Supervisory_Params!$B$26),1))</f>
        <v/>
      </c>
      <c r="N21" s="39">
        <f>Supervisory_Params!$B$28</f>
        <v/>
      </c>
      <c r="O21" s="40">
        <f>L21*J21*M21</f>
        <v/>
      </c>
      <c r="P21" s="40">
        <f>L21*J21*N21</f>
        <v/>
      </c>
      <c r="Q21" s="41">
        <f>INDEX(Supervisory_Params!$D$5:$D$13,MATCH(C21&amp;"|"&amp;Trade_Inputs!O21,Supervisory_Params!$C$5:$C$13,0))</f>
        <v/>
      </c>
      <c r="R21" s="42">
        <f>IF(OR(C21="IR",C21="FX"),0,IF(C21="Commodity",Supervisory_Params!$B$23,IF(ISNUMBER(SEARCH("Index",Trade_Inputs!O21)),Supervisory_Params!$B$22,Supervisory_Params!$B$21)))</f>
        <v/>
      </c>
    </row>
  </sheetData>
  <mergeCells count="1">
    <mergeCell ref="A1:Q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5"/>
  <sheetViews>
    <sheetView showGridLines="0" zoomScaleNormal="100" workbookViewId="0">
      <selection activeCell="A1" sqref="A1:G1"/>
    </sheetView>
  </sheetViews>
  <sheetFormatPr baseColWidth="8" defaultColWidth="8.6328125" defaultRowHeight="14.5"/>
  <cols>
    <col width="42" customWidth="1" min="1" max="1"/>
    <col width="16" customWidth="1" min="2" max="6"/>
    <col width="40" customWidth="1" min="7" max="7"/>
  </cols>
  <sheetData>
    <row r="1" ht="21.75" customHeight="1">
      <c r="A1" s="2" t="inlineStr">
        <is>
          <t>AddOn Aggregation, RC, PFE &amp; EAD - 4 scenarios (actual vs. hypothetical opposite-margin-status)</t>
        </is>
      </c>
    </row>
    <row r="3">
      <c r="A3" s="1" t="inlineStr">
        <is>
          <t>SCENARIO 1: Netting Set A (CORP-001) - ACTUAL: Unmargined</t>
        </is>
      </c>
    </row>
    <row r="4">
      <c r="A4" s="17" t="inlineStr">
        <is>
          <t>V - net MTM of netting set</t>
        </is>
      </c>
      <c r="B4" s="43">
        <f>SUMIF(Calc_Engine!$B$4:$B$21,"NS-A",Trade_Inputs!$N$4:$N$21)</f>
        <v/>
      </c>
    </row>
    <row r="5">
      <c r="A5" s="9" t="inlineStr">
        <is>
          <t>C - haircut value of net collateral held</t>
        </is>
      </c>
      <c r="B5" s="44" t="n">
        <v>0</v>
      </c>
    </row>
    <row r="6">
      <c r="A6" s="9" t="inlineStr">
        <is>
          <t>TH - threshold  (n/a, unmargined)</t>
        </is>
      </c>
      <c r="B6" s="44" t="n">
        <v>0</v>
      </c>
    </row>
    <row r="7">
      <c r="A7" s="9" t="inlineStr">
        <is>
          <t>MTA - minimum transfer amount  (n/a, unmargined)</t>
        </is>
      </c>
      <c r="B7" s="44" t="n">
        <v>0</v>
      </c>
    </row>
    <row r="8">
      <c r="A8" s="9" t="inlineStr">
        <is>
          <t>NICA - net independent collateral amount</t>
        </is>
      </c>
      <c r="B8" s="44" t="n">
        <v>0</v>
      </c>
    </row>
    <row r="9">
      <c r="A9" s="45" t="inlineStr">
        <is>
          <t>IR AddOn (3 maturity buckets, cross-bucket correlation)</t>
        </is>
      </c>
      <c r="B9" s="46" t="n"/>
      <c r="C9" s="46" t="n"/>
      <c r="D9" s="46" t="n"/>
      <c r="E9" s="46" t="n"/>
      <c r="F9" s="46" t="n"/>
      <c r="G9" s="46" t="n"/>
    </row>
    <row r="10">
      <c r="A10" s="7" t="inlineStr">
        <is>
          <t>Currency</t>
        </is>
      </c>
      <c r="B10" s="7" t="inlineStr">
        <is>
          <t>Bucket1 (&lt;1y)</t>
        </is>
      </c>
      <c r="C10" s="7" t="inlineStr">
        <is>
          <t>Bucket2 (1-5y)</t>
        </is>
      </c>
      <c r="D10" s="7" t="inlineStr">
        <is>
          <t>Bucket3 (&gt;5y)</t>
        </is>
      </c>
      <c r="E10" s="7" t="inlineStr">
        <is>
          <t>Eff. D (HS)</t>
        </is>
      </c>
      <c r="F10" s="7" t="inlineStr">
        <is>
          <t>AddOn</t>
        </is>
      </c>
    </row>
    <row r="11">
      <c r="A11" s="47" t="inlineStr">
        <is>
          <t>USD</t>
        </is>
      </c>
      <c r="B11" s="34">
        <f>SUMPRODUCT((Calc_Engine!$B$4:$B$21="NS-A")*(Calc_Engine!$C$4:$C$21="IR")*(Calc_Engine!$D$4:$D$21="USD")*(Calc_Engine!$H$4:$H$21&lt;1)*Calc_Engine!$O$4:$O$21)</f>
        <v/>
      </c>
      <c r="C11" s="34">
        <f>SUMPRODUCT((Calc_Engine!$B$4:$B$21="NS-A")*(Calc_Engine!$C$4:$C$21="IR")*(Calc_Engine!$D$4:$D$21="USD")*(Calc_Engine!$H$4:$H$21&gt;=1)*(Calc_Engine!$H$4:$H$21&lt;=5)*Calc_Engine!$O$4:$O$21)</f>
        <v/>
      </c>
      <c r="D11" s="34">
        <f>SUMPRODUCT((Calc_Engine!$B$4:$B$21="NS-A")*(Calc_Engine!$C$4:$C$21="IR")*(Calc_Engine!$D$4:$D$21="USD")*(Calc_Engine!$H$4:$H$21&gt;5)*Calc_Engine!$O$4:$O$21)</f>
        <v/>
      </c>
      <c r="E11" s="34">
        <f>SQRT(B11^2+C11^2+D11^2+1.4*B11*C11+1.4*C11*D11+0.6*B11*D11)</f>
        <v/>
      </c>
      <c r="F11" s="34">
        <f>INDEX(Supervisory_Params!$D$5:$D$13,MATCH("IR|NA",Supervisory_Params!$C$5:$C$13,0))*E11</f>
        <v/>
      </c>
    </row>
    <row r="12">
      <c r="A12" s="47" t="inlineStr">
        <is>
          <t>EUR</t>
        </is>
      </c>
      <c r="B12" s="34">
        <f>SUMPRODUCT((Calc_Engine!$B$4:$B$21="NS-A")*(Calc_Engine!$C$4:$C$21="IR")*(Calc_Engine!$D$4:$D$21="EUR")*(Calc_Engine!$H$4:$H$21&lt;1)*Calc_Engine!$O$4:$O$21)</f>
        <v/>
      </c>
      <c r="C12" s="34">
        <f>SUMPRODUCT((Calc_Engine!$B$4:$B$21="NS-A")*(Calc_Engine!$C$4:$C$21="IR")*(Calc_Engine!$D$4:$D$21="EUR")*(Calc_Engine!$H$4:$H$21&gt;=1)*(Calc_Engine!$H$4:$H$21&lt;=5)*Calc_Engine!$O$4:$O$21)</f>
        <v/>
      </c>
      <c r="D12" s="34">
        <f>SUMPRODUCT((Calc_Engine!$B$4:$B$21="NS-A")*(Calc_Engine!$C$4:$C$21="IR")*(Calc_Engine!$D$4:$D$21="EUR")*(Calc_Engine!$H$4:$H$21&gt;5)*Calc_Engine!$O$4:$O$21)</f>
        <v/>
      </c>
      <c r="E12" s="34">
        <f>SQRT(B12^2+C12^2+D12^2+1.4*B12*C12+1.4*C12*D12+0.6*B12*D12)</f>
        <v/>
      </c>
      <c r="F12" s="34">
        <f>INDEX(Supervisory_Params!$D$5:$D$13,MATCH("IR|NA",Supervisory_Params!$C$5:$C$13,0))*E12</f>
        <v/>
      </c>
    </row>
    <row r="13">
      <c r="A13" s="17" t="inlineStr">
        <is>
          <t xml:space="preserve">  AddOn (IR total, all currencies)</t>
        </is>
      </c>
      <c r="B13" s="43">
        <f>$F$11+$F$12</f>
        <v/>
      </c>
    </row>
    <row r="14">
      <c r="A14" s="45" t="inlineStr">
        <is>
          <t>FX AddOn (sum by currency pair hedging set)</t>
        </is>
      </c>
      <c r="B14" s="46" t="n"/>
      <c r="C14" s="46" t="n"/>
      <c r="D14" s="46" t="n"/>
      <c r="E14" s="46" t="n"/>
      <c r="F14" s="46" t="n"/>
      <c r="G14" s="46" t="n"/>
    </row>
    <row r="15">
      <c r="A15" s="47" t="inlineStr">
        <is>
          <t xml:space="preserve">  AddOn (EURUSD)</t>
        </is>
      </c>
      <c r="B15" s="34">
        <f>ABS(SUMPRODUCT((Calc_Engine!$B$4:$B$21="NS-A")*(Calc_Engine!$C$4:$C$21="FX")*(Calc_Engine!$D$4:$D$21="EURUSD")*Calc_Engine!$O$4:$O$21))*INDEX(Supervisory_Params!$D$5:$D$13,MATCH("FX|NA",Supervisory_Params!$C$5:$C$13,0))</f>
        <v/>
      </c>
    </row>
    <row r="16">
      <c r="A16" s="47" t="inlineStr">
        <is>
          <t xml:space="preserve">  AddOn (GBPUSD)</t>
        </is>
      </c>
      <c r="B16" s="34">
        <f>ABS(SUMPRODUCT((Calc_Engine!$B$4:$B$21="NS-A")*(Calc_Engine!$C$4:$C$21="FX")*(Calc_Engine!$D$4:$D$21="GBPUSD")*Calc_Engine!$O$4:$O$21))*INDEX(Supervisory_Params!$D$5:$D$13,MATCH("FX|NA",Supervisory_Params!$C$5:$C$13,0))</f>
        <v/>
      </c>
    </row>
    <row r="17">
      <c r="A17" s="47" t="inlineStr">
        <is>
          <t xml:space="preserve">  AddOn (USDJPY)</t>
        </is>
      </c>
      <c r="B17" s="34">
        <f>ABS(SUMPRODUCT((Calc_Engine!$B$4:$B$21="NS-A")*(Calc_Engine!$C$4:$C$21="FX")*(Calc_Engine!$D$4:$D$21="USDJPY")*Calc_Engine!$O$4:$O$21))*INDEX(Supervisory_Params!$D$5:$D$13,MATCH("FX|NA",Supervisory_Params!$C$5:$C$13,0))</f>
        <v/>
      </c>
    </row>
    <row r="18">
      <c r="A18" s="17" t="inlineStr">
        <is>
          <t xml:space="preserve">  AddOn (FX total, all pairs)</t>
        </is>
      </c>
      <c r="B18" s="43">
        <f>$B$15+$B$16+$B$17</f>
        <v/>
      </c>
    </row>
    <row r="19">
      <c r="A19" s="45" t="inlineStr">
        <is>
          <t>Credit</t>
        </is>
      </c>
      <c r="B19" s="46" t="n"/>
      <c r="C19" s="46" t="n"/>
      <c r="D19" s="46" t="n"/>
      <c r="E19" s="46" t="n"/>
      <c r="F19" s="46" t="n"/>
      <c r="G19" s="46" t="n"/>
    </row>
    <row r="20">
      <c r="A20" s="9" t="inlineStr">
        <is>
          <t xml:space="preserve">  Sum(rho x SF x EffNotional)</t>
        </is>
      </c>
      <c r="B20" s="34">
        <f>SUMPRODUCT((Calc_Engine!$B$4:$B$21="NS-A")*(Calc_Engine!$C$4:$C$21="Credit")*Calc_Engine!$R$4:$R$21*Calc_Engine!$Q$4:$Q$21*Calc_Engine!$O$4:$O$21)</f>
        <v/>
      </c>
    </row>
    <row r="21">
      <c r="A21" s="9" t="inlineStr">
        <is>
          <t xml:space="preserve">  Sum((1-rho^2) x (SF x EffNotional)^2)</t>
        </is>
      </c>
      <c r="B21" s="34">
        <f>SUMPRODUCT((Calc_Engine!$B$4:$B$21="NS-A")*(Calc_Engine!$C$4:$C$21="Credit")*(1-Calc_Engine!$R$4:$R$21^2)*(Calc_Engine!$Q$4:$Q$21*Calc_Engine!$O$4:$O$21)^2)</f>
        <v/>
      </c>
    </row>
    <row r="22">
      <c r="A22" s="17" t="inlineStr">
        <is>
          <t xml:space="preserve">  AddOn (Credit)</t>
        </is>
      </c>
      <c r="B22" s="48">
        <f>SQRT($B$20^2+$B$21)</f>
        <v/>
      </c>
    </row>
    <row r="23">
      <c r="A23" s="45" t="inlineStr">
        <is>
          <t>Equity</t>
        </is>
      </c>
      <c r="B23" s="46" t="n"/>
      <c r="C23" s="46" t="n"/>
      <c r="D23" s="46" t="n"/>
      <c r="E23" s="46" t="n"/>
      <c r="F23" s="46" t="n"/>
      <c r="G23" s="46" t="n"/>
    </row>
    <row r="24">
      <c r="A24" s="9" t="inlineStr">
        <is>
          <t xml:space="preserve">  Sum(rho x SF x EffNotional)</t>
        </is>
      </c>
      <c r="B24" s="34">
        <f>SUMPRODUCT((Calc_Engine!$B$4:$B$21="NS-A")*(Calc_Engine!$C$4:$C$21="Equity")*Calc_Engine!$R$4:$R$21*Calc_Engine!$Q$4:$Q$21*Calc_Engine!$O$4:$O$21)</f>
        <v/>
      </c>
    </row>
    <row r="25">
      <c r="A25" s="9" t="inlineStr">
        <is>
          <t xml:space="preserve">  Sum((1-rho^2) x (SF x EffNotional)^2)</t>
        </is>
      </c>
      <c r="B25" s="34">
        <f>SUMPRODUCT((Calc_Engine!$B$4:$B$21="NS-A")*(Calc_Engine!$C$4:$C$21="Equity")*(1-Calc_Engine!$R$4:$R$21^2)*(Calc_Engine!$Q$4:$Q$21*Calc_Engine!$O$4:$O$21)^2)</f>
        <v/>
      </c>
    </row>
    <row r="26">
      <c r="A26" s="17" t="inlineStr">
        <is>
          <t xml:space="preserve">  AddOn (Equity)</t>
        </is>
      </c>
      <c r="B26" s="48">
        <f>SQRT($B$24^2+$B$25)</f>
        <v/>
      </c>
    </row>
    <row r="27">
      <c r="A27" s="45" t="inlineStr">
        <is>
          <t>Commodity</t>
        </is>
      </c>
      <c r="B27" s="46" t="n"/>
      <c r="C27" s="46" t="n"/>
      <c r="D27" s="46" t="n"/>
      <c r="E27" s="46" t="n"/>
      <c r="F27" s="46" t="n"/>
      <c r="G27" s="46" t="n"/>
    </row>
    <row r="28">
      <c r="A28" s="9" t="inlineStr">
        <is>
          <t xml:space="preserve">  Sum(rho x SF x EffNotional)</t>
        </is>
      </c>
      <c r="B28" s="34">
        <f>SUMPRODUCT((Calc_Engine!$B$4:$B$21="NS-A")*(Calc_Engine!$C$4:$C$21="Commodity")*Calc_Engine!$R$4:$R$21*Calc_Engine!$Q$4:$Q$21*Calc_Engine!$O$4:$O$21)</f>
        <v/>
      </c>
    </row>
    <row r="29">
      <c r="A29" s="9" t="inlineStr">
        <is>
          <t xml:space="preserve">  Sum((1-rho^2) x (SF x EffNotional)^2)</t>
        </is>
      </c>
      <c r="B29" s="34">
        <f>SUMPRODUCT((Calc_Engine!$B$4:$B$21="NS-A")*(Calc_Engine!$C$4:$C$21="Commodity")*(1-Calc_Engine!$R$4:$R$21^2)*(Calc_Engine!$Q$4:$Q$21*Calc_Engine!$O$4:$O$21)^2)</f>
        <v/>
      </c>
    </row>
    <row r="30">
      <c r="A30" s="17" t="inlineStr">
        <is>
          <t xml:space="preserve">  AddOn (Commodity)</t>
        </is>
      </c>
      <c r="B30" s="48">
        <f>SQRT($B$28^2+$B$29)</f>
        <v/>
      </c>
    </row>
    <row r="31">
      <c r="A31" s="49" t="inlineStr">
        <is>
          <t>AddOn aggregate (all asset classes)</t>
        </is>
      </c>
      <c r="B31" s="50">
        <f>$B$13+$B$18+$B$22+$B$26+$B$30</f>
        <v/>
      </c>
    </row>
    <row r="32">
      <c r="A32" s="9" t="inlineStr">
        <is>
          <t>Multiplier</t>
        </is>
      </c>
      <c r="B32" s="18">
        <f>IF($B$31=0,1,MIN(1,Supervisory_Params!$B$18+(1-Supervisory_Params!$B$18)*EXP(($B$4-$B$5)/(2*(1-Supervisory_Params!$B$18)*$B$31))))</f>
        <v/>
      </c>
    </row>
    <row r="33">
      <c r="A33" s="9" t="inlineStr">
        <is>
          <t>PFE</t>
        </is>
      </c>
      <c r="B33" s="51">
        <f>$B$32*$B$31</f>
        <v/>
      </c>
    </row>
    <row r="34">
      <c r="A34" s="9" t="inlineStr">
        <is>
          <t>RC (Replacement Cost)</t>
        </is>
      </c>
      <c r="B34" s="51">
        <f>MAX($B$4-$B$5,0)</f>
        <v/>
      </c>
    </row>
    <row r="35">
      <c r="A35" s="52" t="inlineStr">
        <is>
          <t>EAD = alpha x (RC + PFE)</t>
        </is>
      </c>
      <c r="B35" s="53">
        <f>Supervisory_Params!$B$17*($B$34+$B$33)</f>
        <v/>
      </c>
    </row>
    <row r="37">
      <c r="A37" s="1" t="inlineStr">
        <is>
          <t>SCENARIO 2: Netting Set A (CORP-001) - HYPOTHETICAL: Same trades, if margined</t>
        </is>
      </c>
    </row>
    <row r="38">
      <c r="A38" s="17" t="inlineStr">
        <is>
          <t>V - net MTM of netting set</t>
        </is>
      </c>
      <c r="B38" s="43">
        <f>SUMIF(Calc_Engine!$B$4:$B$21,"NS-A",Trade_Inputs!$N$4:$N$21)</f>
        <v/>
      </c>
    </row>
    <row r="39">
      <c r="A39" s="9" t="inlineStr">
        <is>
          <t>C - haircut value of net collateral held</t>
        </is>
      </c>
      <c r="B39" s="44" t="n">
        <v>0</v>
      </c>
    </row>
    <row r="40">
      <c r="A40" s="9" t="inlineStr">
        <is>
          <t>TH - threshold</t>
        </is>
      </c>
      <c r="B40" s="44" t="n">
        <v>0</v>
      </c>
    </row>
    <row r="41">
      <c r="A41" s="9" t="inlineStr">
        <is>
          <t>MTA - minimum transfer amount</t>
        </is>
      </c>
      <c r="B41" s="44" t="n">
        <v>250000</v>
      </c>
    </row>
    <row r="42">
      <c r="A42" s="9" t="inlineStr">
        <is>
          <t>NICA - net independent collateral amount</t>
        </is>
      </c>
      <c r="B42" s="44" t="n">
        <v>0</v>
      </c>
    </row>
    <row r="43">
      <c r="A43" s="45" t="inlineStr">
        <is>
          <t>IR AddOn (3 maturity buckets, cross-bucket correlation)</t>
        </is>
      </c>
      <c r="B43" s="46" t="n"/>
      <c r="C43" s="46" t="n"/>
      <c r="D43" s="46" t="n"/>
      <c r="E43" s="46" t="n"/>
      <c r="F43" s="46" t="n"/>
      <c r="G43" s="46" t="n"/>
    </row>
    <row r="44">
      <c r="A44" s="7" t="inlineStr">
        <is>
          <t>Currency</t>
        </is>
      </c>
      <c r="B44" s="7" t="inlineStr">
        <is>
          <t>Bucket1 (&lt;1y)</t>
        </is>
      </c>
      <c r="C44" s="7" t="inlineStr">
        <is>
          <t>Bucket2 (1-5y)</t>
        </is>
      </c>
      <c r="D44" s="7" t="inlineStr">
        <is>
          <t>Bucket3 (&gt;5y)</t>
        </is>
      </c>
      <c r="E44" s="7" t="inlineStr">
        <is>
          <t>Eff. D (HS)</t>
        </is>
      </c>
      <c r="F44" s="7" t="inlineStr">
        <is>
          <t>AddOn</t>
        </is>
      </c>
    </row>
    <row r="45">
      <c r="A45" s="47" t="inlineStr">
        <is>
          <t>USD</t>
        </is>
      </c>
      <c r="B45" s="34">
        <f>SUMPRODUCT((Calc_Engine!$B$4:$B$21="NS-A")*(Calc_Engine!$C$4:$C$21="IR")*(Calc_Engine!$D$4:$D$21="USD")*(Calc_Engine!$H$4:$H$21&lt;1)*Calc_Engine!$P$4:$P$21)</f>
        <v/>
      </c>
      <c r="C45" s="34">
        <f>SUMPRODUCT((Calc_Engine!$B$4:$B$21="NS-A")*(Calc_Engine!$C$4:$C$21="IR")*(Calc_Engine!$D$4:$D$21="USD")*(Calc_Engine!$H$4:$H$21&gt;=1)*(Calc_Engine!$H$4:$H$21&lt;=5)*Calc_Engine!$P$4:$P$21)</f>
        <v/>
      </c>
      <c r="D45" s="34">
        <f>SUMPRODUCT((Calc_Engine!$B$4:$B$21="NS-A")*(Calc_Engine!$C$4:$C$21="IR")*(Calc_Engine!$D$4:$D$21="USD")*(Calc_Engine!$H$4:$H$21&gt;5)*Calc_Engine!$P$4:$P$21)</f>
        <v/>
      </c>
      <c r="E45" s="34">
        <f>SQRT(B45^2+C45^2+D45^2+1.4*B45*C45+1.4*C45*D45+0.6*B45*D45)</f>
        <v/>
      </c>
      <c r="F45" s="34">
        <f>INDEX(Supervisory_Params!$D$5:$D$13,MATCH("IR|NA",Supervisory_Params!$C$5:$C$13,0))*E45</f>
        <v/>
      </c>
    </row>
    <row r="46">
      <c r="A46" s="47" t="inlineStr">
        <is>
          <t>EUR</t>
        </is>
      </c>
      <c r="B46" s="34">
        <f>SUMPRODUCT((Calc_Engine!$B$4:$B$21="NS-A")*(Calc_Engine!$C$4:$C$21="IR")*(Calc_Engine!$D$4:$D$21="EUR")*(Calc_Engine!$H$4:$H$21&lt;1)*Calc_Engine!$P$4:$P$21)</f>
        <v/>
      </c>
      <c r="C46" s="34">
        <f>SUMPRODUCT((Calc_Engine!$B$4:$B$21="NS-A")*(Calc_Engine!$C$4:$C$21="IR")*(Calc_Engine!$D$4:$D$21="EUR")*(Calc_Engine!$H$4:$H$21&gt;=1)*(Calc_Engine!$H$4:$H$21&lt;=5)*Calc_Engine!$P$4:$P$21)</f>
        <v/>
      </c>
      <c r="D46" s="34">
        <f>SUMPRODUCT((Calc_Engine!$B$4:$B$21="NS-A")*(Calc_Engine!$C$4:$C$21="IR")*(Calc_Engine!$D$4:$D$21="EUR")*(Calc_Engine!$H$4:$H$21&gt;5)*Calc_Engine!$P$4:$P$21)</f>
        <v/>
      </c>
      <c r="E46" s="34">
        <f>SQRT(B46^2+C46^2+D46^2+1.4*B46*C46+1.4*C46*D46+0.6*B46*D46)</f>
        <v/>
      </c>
      <c r="F46" s="34">
        <f>INDEX(Supervisory_Params!$D$5:$D$13,MATCH("IR|NA",Supervisory_Params!$C$5:$C$13,0))*E46</f>
        <v/>
      </c>
    </row>
    <row r="47">
      <c r="A47" s="17" t="inlineStr">
        <is>
          <t xml:space="preserve">  AddOn (IR total, all currencies)</t>
        </is>
      </c>
      <c r="B47" s="43">
        <f>$F$45+$F$46</f>
        <v/>
      </c>
    </row>
    <row r="48">
      <c r="A48" s="45" t="inlineStr">
        <is>
          <t>FX AddOn (sum by currency pair hedging set)</t>
        </is>
      </c>
      <c r="B48" s="46" t="n"/>
      <c r="C48" s="46" t="n"/>
      <c r="D48" s="46" t="n"/>
      <c r="E48" s="46" t="n"/>
      <c r="F48" s="46" t="n"/>
      <c r="G48" s="46" t="n"/>
    </row>
    <row r="49">
      <c r="A49" s="47" t="inlineStr">
        <is>
          <t xml:space="preserve">  AddOn (EURUSD)</t>
        </is>
      </c>
      <c r="B49" s="34">
        <f>ABS(SUMPRODUCT((Calc_Engine!$B$4:$B$21="NS-A")*(Calc_Engine!$C$4:$C$21="FX")*(Calc_Engine!$D$4:$D$21="EURUSD")*Calc_Engine!$P$4:$P$21))*INDEX(Supervisory_Params!$D$5:$D$13,MATCH("FX|NA",Supervisory_Params!$C$5:$C$13,0))</f>
        <v/>
      </c>
    </row>
    <row r="50">
      <c r="A50" s="47" t="inlineStr">
        <is>
          <t xml:space="preserve">  AddOn (GBPUSD)</t>
        </is>
      </c>
      <c r="B50" s="34">
        <f>ABS(SUMPRODUCT((Calc_Engine!$B$4:$B$21="NS-A")*(Calc_Engine!$C$4:$C$21="FX")*(Calc_Engine!$D$4:$D$21="GBPUSD")*Calc_Engine!$P$4:$P$21))*INDEX(Supervisory_Params!$D$5:$D$13,MATCH("FX|NA",Supervisory_Params!$C$5:$C$13,0))</f>
        <v/>
      </c>
    </row>
    <row r="51">
      <c r="A51" s="47" t="inlineStr">
        <is>
          <t xml:space="preserve">  AddOn (USDJPY)</t>
        </is>
      </c>
      <c r="B51" s="34">
        <f>ABS(SUMPRODUCT((Calc_Engine!$B$4:$B$21="NS-A")*(Calc_Engine!$C$4:$C$21="FX")*(Calc_Engine!$D$4:$D$21="USDJPY")*Calc_Engine!$P$4:$P$21))*INDEX(Supervisory_Params!$D$5:$D$13,MATCH("FX|NA",Supervisory_Params!$C$5:$C$13,0))</f>
        <v/>
      </c>
    </row>
    <row r="52">
      <c r="A52" s="17" t="inlineStr">
        <is>
          <t xml:space="preserve">  AddOn (FX total, all pairs)</t>
        </is>
      </c>
      <c r="B52" s="43">
        <f>$B$49+$B$50+$B$51</f>
        <v/>
      </c>
    </row>
    <row r="53">
      <c r="A53" s="45" t="inlineStr">
        <is>
          <t>Credit</t>
        </is>
      </c>
      <c r="B53" s="46" t="n"/>
      <c r="C53" s="46" t="n"/>
      <c r="D53" s="46" t="n"/>
      <c r="E53" s="46" t="n"/>
      <c r="F53" s="46" t="n"/>
      <c r="G53" s="46" t="n"/>
    </row>
    <row r="54">
      <c r="A54" s="9" t="inlineStr">
        <is>
          <t xml:space="preserve">  Sum(rho x SF x EffNotional)</t>
        </is>
      </c>
      <c r="B54" s="34">
        <f>SUMPRODUCT((Calc_Engine!$B$4:$B$21="NS-A")*(Calc_Engine!$C$4:$C$21="Credit")*Calc_Engine!$R$4:$R$21*Calc_Engine!$Q$4:$Q$21*Calc_Engine!$P$4:$P$21)</f>
        <v/>
      </c>
    </row>
    <row r="55">
      <c r="A55" s="9" t="inlineStr">
        <is>
          <t xml:space="preserve">  Sum((1-rho^2) x (SF x EffNotional)^2)</t>
        </is>
      </c>
      <c r="B55" s="34">
        <f>SUMPRODUCT((Calc_Engine!$B$4:$B$21="NS-A")*(Calc_Engine!$C$4:$C$21="Credit")*(1-Calc_Engine!$R$4:$R$21^2)*(Calc_Engine!$Q$4:$Q$21*Calc_Engine!$P$4:$P$21)^2)</f>
        <v/>
      </c>
    </row>
    <row r="56">
      <c r="A56" s="17" t="inlineStr">
        <is>
          <t xml:space="preserve">  AddOn (Credit)</t>
        </is>
      </c>
      <c r="B56" s="48">
        <f>SQRT($B$54^2+$B$55)</f>
        <v/>
      </c>
    </row>
    <row r="57">
      <c r="A57" s="45" t="inlineStr">
        <is>
          <t>Equity</t>
        </is>
      </c>
      <c r="B57" s="46" t="n"/>
      <c r="C57" s="46" t="n"/>
      <c r="D57" s="46" t="n"/>
      <c r="E57" s="46" t="n"/>
      <c r="F57" s="46" t="n"/>
      <c r="G57" s="46" t="n"/>
    </row>
    <row r="58">
      <c r="A58" s="9" t="inlineStr">
        <is>
          <t xml:space="preserve">  Sum(rho x SF x EffNotional)</t>
        </is>
      </c>
      <c r="B58" s="34">
        <f>SUMPRODUCT((Calc_Engine!$B$4:$B$21="NS-A")*(Calc_Engine!$C$4:$C$21="Equity")*Calc_Engine!$R$4:$R$21*Calc_Engine!$Q$4:$Q$21*Calc_Engine!$P$4:$P$21)</f>
        <v/>
      </c>
    </row>
    <row r="59">
      <c r="A59" s="9" t="inlineStr">
        <is>
          <t xml:space="preserve">  Sum((1-rho^2) x (SF x EffNotional)^2)</t>
        </is>
      </c>
      <c r="B59" s="34">
        <f>SUMPRODUCT((Calc_Engine!$B$4:$B$21="NS-A")*(Calc_Engine!$C$4:$C$21="Equity")*(1-Calc_Engine!$R$4:$R$21^2)*(Calc_Engine!$Q$4:$Q$21*Calc_Engine!$P$4:$P$21)^2)</f>
        <v/>
      </c>
    </row>
    <row r="60">
      <c r="A60" s="17" t="inlineStr">
        <is>
          <t xml:space="preserve">  AddOn (Equity)</t>
        </is>
      </c>
      <c r="B60" s="48">
        <f>SQRT($B$58^2+$B$59)</f>
        <v/>
      </c>
    </row>
    <row r="61">
      <c r="A61" s="45" t="inlineStr">
        <is>
          <t>Commodity</t>
        </is>
      </c>
      <c r="B61" s="46" t="n"/>
      <c r="C61" s="46" t="n"/>
      <c r="D61" s="46" t="n"/>
      <c r="E61" s="46" t="n"/>
      <c r="F61" s="46" t="n"/>
      <c r="G61" s="46" t="n"/>
    </row>
    <row r="62">
      <c r="A62" s="9" t="inlineStr">
        <is>
          <t xml:space="preserve">  Sum(rho x SF x EffNotional)</t>
        </is>
      </c>
      <c r="B62" s="34">
        <f>SUMPRODUCT((Calc_Engine!$B$4:$B$21="NS-A")*(Calc_Engine!$C$4:$C$21="Commodity")*Calc_Engine!$R$4:$R$21*Calc_Engine!$Q$4:$Q$21*Calc_Engine!$P$4:$P$21)</f>
        <v/>
      </c>
    </row>
    <row r="63">
      <c r="A63" s="9" t="inlineStr">
        <is>
          <t xml:space="preserve">  Sum((1-rho^2) x (SF x EffNotional)^2)</t>
        </is>
      </c>
      <c r="B63" s="34">
        <f>SUMPRODUCT((Calc_Engine!$B$4:$B$21="NS-A")*(Calc_Engine!$C$4:$C$21="Commodity")*(1-Calc_Engine!$R$4:$R$21^2)*(Calc_Engine!$Q$4:$Q$21*Calc_Engine!$P$4:$P$21)^2)</f>
        <v/>
      </c>
    </row>
    <row r="64">
      <c r="A64" s="17" t="inlineStr">
        <is>
          <t xml:space="preserve">  AddOn (Commodity)</t>
        </is>
      </c>
      <c r="B64" s="48">
        <f>SQRT($B$62^2+$B$63)</f>
        <v/>
      </c>
    </row>
    <row r="65">
      <c r="A65" s="49" t="inlineStr">
        <is>
          <t>AddOn aggregate (all asset classes)</t>
        </is>
      </c>
      <c r="B65" s="50">
        <f>$B$47+$B$52+$B$56+$B$60+$B$64</f>
        <v/>
      </c>
    </row>
    <row r="66">
      <c r="A66" s="9" t="inlineStr">
        <is>
          <t>Multiplier</t>
        </is>
      </c>
      <c r="B66" s="18">
        <f>IF($B$65=0,1,MIN(1,Supervisory_Params!$B$18+(1-Supervisory_Params!$B$18)*EXP(($B$38-$B$39)/(2*(1-Supervisory_Params!$B$18)*$B$65))))</f>
        <v/>
      </c>
    </row>
    <row r="67">
      <c r="A67" s="9" t="inlineStr">
        <is>
          <t>PFE</t>
        </is>
      </c>
      <c r="B67" s="51">
        <f>$B$66*$B$65</f>
        <v/>
      </c>
    </row>
    <row r="68">
      <c r="A68" s="9" t="inlineStr">
        <is>
          <t>RC (Replacement Cost)</t>
        </is>
      </c>
      <c r="B68" s="51">
        <f>MAX($B$38-$B$39,$B$40+$B$41-$B$42,0)</f>
        <v/>
      </c>
    </row>
    <row r="69">
      <c r="A69" s="52" t="inlineStr">
        <is>
          <t>EAD = alpha x (RC + PFE)</t>
        </is>
      </c>
      <c r="B69" s="53">
        <f>Supervisory_Params!$B$17*($B$68+$B$67)</f>
        <v/>
      </c>
    </row>
    <row r="71">
      <c r="A71" s="1" t="inlineStr">
        <is>
          <t>SCENARIO 3: Netting Set B (BANK-001) - ACTUAL: Margined</t>
        </is>
      </c>
    </row>
    <row r="72">
      <c r="A72" s="17" t="inlineStr">
        <is>
          <t>V - net MTM of netting set</t>
        </is>
      </c>
      <c r="B72" s="43">
        <f>SUMIF(Calc_Engine!$B$4:$B$21,"NS-B",Trade_Inputs!$N$4:$N$21)</f>
        <v/>
      </c>
    </row>
    <row r="73">
      <c r="A73" s="9" t="inlineStr">
        <is>
          <t>C - haircut value of net collateral held</t>
        </is>
      </c>
      <c r="B73" s="44" t="n">
        <v>400000</v>
      </c>
    </row>
    <row r="74">
      <c r="A74" s="9" t="inlineStr">
        <is>
          <t>TH - threshold</t>
        </is>
      </c>
      <c r="B74" s="44" t="n">
        <v>0</v>
      </c>
    </row>
    <row r="75">
      <c r="A75" s="9" t="inlineStr">
        <is>
          <t>MTA - minimum transfer amount</t>
        </is>
      </c>
      <c r="B75" s="44" t="n">
        <v>500000</v>
      </c>
    </row>
    <row r="76">
      <c r="A76" s="9" t="inlineStr">
        <is>
          <t>NICA - net independent collateral amount</t>
        </is>
      </c>
      <c r="B76" s="44" t="n">
        <v>300000</v>
      </c>
    </row>
    <row r="77">
      <c r="A77" s="45" t="inlineStr">
        <is>
          <t>IR AddOn (3 maturity buckets, cross-bucket correlation)</t>
        </is>
      </c>
      <c r="B77" s="46" t="n"/>
      <c r="C77" s="46" t="n"/>
      <c r="D77" s="46" t="n"/>
      <c r="E77" s="46" t="n"/>
      <c r="F77" s="46" t="n"/>
      <c r="G77" s="46" t="n"/>
    </row>
    <row r="78">
      <c r="A78" s="7" t="inlineStr">
        <is>
          <t>Currency</t>
        </is>
      </c>
      <c r="B78" s="7" t="inlineStr">
        <is>
          <t>Bucket1 (&lt;1y)</t>
        </is>
      </c>
      <c r="C78" s="7" t="inlineStr">
        <is>
          <t>Bucket2 (1-5y)</t>
        </is>
      </c>
      <c r="D78" s="7" t="inlineStr">
        <is>
          <t>Bucket3 (&gt;5y)</t>
        </is>
      </c>
      <c r="E78" s="7" t="inlineStr">
        <is>
          <t>Eff. D (HS)</t>
        </is>
      </c>
      <c r="F78" s="7" t="inlineStr">
        <is>
          <t>AddOn</t>
        </is>
      </c>
    </row>
    <row r="79">
      <c r="A79" s="54" t="inlineStr">
        <is>
          <t>USD</t>
        </is>
      </c>
      <c r="B79" s="40">
        <f>SUMPRODUCT((Calc_Engine!$B$4:$B$21="NS-B")*(Calc_Engine!$C$4:$C$21="IR")*(Calc_Engine!$D$4:$D$21="USD")*(Calc_Engine!$H$4:$H$21&lt;1)*Calc_Engine!$P$4:$P$21)</f>
        <v/>
      </c>
      <c r="C79" s="40">
        <f>SUMPRODUCT((Calc_Engine!$B$4:$B$21="NS-B")*(Calc_Engine!$C$4:$C$21="IR")*(Calc_Engine!$D$4:$D$21="USD")*(Calc_Engine!$H$4:$H$21&gt;=1)*(Calc_Engine!$H$4:$H$21&lt;=5)*Calc_Engine!$P$4:$P$21)</f>
        <v/>
      </c>
      <c r="D79" s="40">
        <f>SUMPRODUCT((Calc_Engine!$B$4:$B$21="NS-B")*(Calc_Engine!$C$4:$C$21="IR")*(Calc_Engine!$D$4:$D$21="USD")*(Calc_Engine!$H$4:$H$21&gt;5)*Calc_Engine!$P$4:$P$21)</f>
        <v/>
      </c>
      <c r="E79" s="40">
        <f>SQRT(B79^2+C79^2+D79^2+1.4*B79*C79+1.4*C79*D79+0.6*B79*D79)</f>
        <v/>
      </c>
      <c r="F79" s="40">
        <f>INDEX(Supervisory_Params!$D$5:$D$13,MATCH("IR|NA",Supervisory_Params!$C$5:$C$13,0))*E79</f>
        <v/>
      </c>
    </row>
    <row r="80">
      <c r="A80" s="17" t="inlineStr">
        <is>
          <t xml:space="preserve">  AddOn (IR total, all currencies)</t>
        </is>
      </c>
      <c r="B80" s="43">
        <f>$F$79</f>
        <v/>
      </c>
    </row>
    <row r="81">
      <c r="A81" s="45" t="inlineStr">
        <is>
          <t>FX AddOn (sum by currency pair hedging set)</t>
        </is>
      </c>
      <c r="B81" s="46" t="n"/>
      <c r="C81" s="46" t="n"/>
      <c r="D81" s="46" t="n"/>
      <c r="E81" s="46" t="n"/>
      <c r="F81" s="46" t="n"/>
      <c r="G81" s="46" t="n"/>
    </row>
    <row r="82">
      <c r="A82" s="54" t="inlineStr">
        <is>
          <t xml:space="preserve">  AddOn (EURUSD)</t>
        </is>
      </c>
      <c r="B82" s="40">
        <f>ABS(SUMPRODUCT((Calc_Engine!$B$4:$B$21="NS-B")*(Calc_Engine!$C$4:$C$21="FX")*(Calc_Engine!$D$4:$D$21="EURUSD")*Calc_Engine!$P$4:$P$21))*INDEX(Supervisory_Params!$D$5:$D$13,MATCH("FX|NA",Supervisory_Params!$C$5:$C$13,0))</f>
        <v/>
      </c>
    </row>
    <row r="83">
      <c r="A83" s="54" t="inlineStr">
        <is>
          <t xml:space="preserve">  AddOn (USDJPY)</t>
        </is>
      </c>
      <c r="B83" s="40">
        <f>ABS(SUMPRODUCT((Calc_Engine!$B$4:$B$21="NS-B")*(Calc_Engine!$C$4:$C$21="FX")*(Calc_Engine!$D$4:$D$21="USDJPY")*Calc_Engine!$P$4:$P$21))*INDEX(Supervisory_Params!$D$5:$D$13,MATCH("FX|NA",Supervisory_Params!$C$5:$C$13,0))</f>
        <v/>
      </c>
    </row>
    <row r="84">
      <c r="A84" s="17" t="inlineStr">
        <is>
          <t xml:space="preserve">  AddOn (FX total, all pairs)</t>
        </is>
      </c>
      <c r="B84" s="43">
        <f>$B$82+$B$83</f>
        <v/>
      </c>
    </row>
    <row r="85">
      <c r="A85" s="45" t="inlineStr">
        <is>
          <t>Credit</t>
        </is>
      </c>
      <c r="B85" s="46" t="n"/>
      <c r="C85" s="46" t="n"/>
      <c r="D85" s="46" t="n"/>
      <c r="E85" s="46" t="n"/>
      <c r="F85" s="46" t="n"/>
      <c r="G85" s="46" t="n"/>
    </row>
    <row r="86">
      <c r="A86" s="9" t="inlineStr">
        <is>
          <t xml:space="preserve">  Sum(rho x SF x EffNotional)</t>
        </is>
      </c>
      <c r="B86" s="40">
        <f>SUMPRODUCT((Calc_Engine!$B$4:$B$21="NS-B")*(Calc_Engine!$C$4:$C$21="Credit")*Calc_Engine!$R$4:$R$21*Calc_Engine!$Q$4:$Q$21*Calc_Engine!$P$4:$P$21)</f>
        <v/>
      </c>
    </row>
    <row r="87">
      <c r="A87" s="9" t="inlineStr">
        <is>
          <t xml:space="preserve">  Sum((1-rho^2) x (SF x EffNotional)^2)</t>
        </is>
      </c>
      <c r="B87" s="40">
        <f>SUMPRODUCT((Calc_Engine!$B$4:$B$21="NS-B")*(Calc_Engine!$C$4:$C$21="Credit")*(1-Calc_Engine!$R$4:$R$21^2)*(Calc_Engine!$Q$4:$Q$21*Calc_Engine!$P$4:$P$21)^2)</f>
        <v/>
      </c>
    </row>
    <row r="88">
      <c r="A88" s="17" t="inlineStr">
        <is>
          <t xml:space="preserve">  AddOn (Credit)</t>
        </is>
      </c>
      <c r="B88" s="55">
        <f>SQRT($B$86^2+$B$87)</f>
        <v/>
      </c>
    </row>
    <row r="89">
      <c r="A89" s="45" t="inlineStr">
        <is>
          <t>Equity</t>
        </is>
      </c>
      <c r="B89" s="46" t="n"/>
      <c r="C89" s="46" t="n"/>
      <c r="D89" s="46" t="n"/>
      <c r="E89" s="46" t="n"/>
      <c r="F89" s="46" t="n"/>
      <c r="G89" s="46" t="n"/>
    </row>
    <row r="90">
      <c r="A90" s="9" t="inlineStr">
        <is>
          <t xml:space="preserve">  Sum(rho x SF x EffNotional)</t>
        </is>
      </c>
      <c r="B90" s="40">
        <f>SUMPRODUCT((Calc_Engine!$B$4:$B$21="NS-B")*(Calc_Engine!$C$4:$C$21="Equity")*Calc_Engine!$R$4:$R$21*Calc_Engine!$Q$4:$Q$21*Calc_Engine!$P$4:$P$21)</f>
        <v/>
      </c>
    </row>
    <row r="91">
      <c r="A91" s="9" t="inlineStr">
        <is>
          <t xml:space="preserve">  Sum((1-rho^2) x (SF x EffNotional)^2)</t>
        </is>
      </c>
      <c r="B91" s="40">
        <f>SUMPRODUCT((Calc_Engine!$B$4:$B$21="NS-B")*(Calc_Engine!$C$4:$C$21="Equity")*(1-Calc_Engine!$R$4:$R$21^2)*(Calc_Engine!$Q$4:$Q$21*Calc_Engine!$P$4:$P$21)^2)</f>
        <v/>
      </c>
    </row>
    <row r="92">
      <c r="A92" s="17" t="inlineStr">
        <is>
          <t xml:space="preserve">  AddOn (Equity)</t>
        </is>
      </c>
      <c r="B92" s="55">
        <f>SQRT($B$90^2+$B$91)</f>
        <v/>
      </c>
    </row>
    <row r="93">
      <c r="A93" s="49" t="inlineStr">
        <is>
          <t>AddOn aggregate (all asset classes)</t>
        </is>
      </c>
      <c r="B93" s="50">
        <f>$B$80+$B$84+$B$88+$B$92+0</f>
        <v/>
      </c>
    </row>
    <row r="94">
      <c r="A94" s="9" t="inlineStr">
        <is>
          <t>Multiplier</t>
        </is>
      </c>
      <c r="B94" s="18">
        <f>IF($B$93=0,1,MIN(1,Supervisory_Params!$B$18+(1-Supervisory_Params!$B$18)*EXP(($B$72-$B$73)/(2*(1-Supervisory_Params!$B$18)*$B$93))))</f>
        <v/>
      </c>
    </row>
    <row r="95">
      <c r="A95" s="9" t="inlineStr">
        <is>
          <t>PFE</t>
        </is>
      </c>
      <c r="B95" s="51">
        <f>$B$94*$B$93</f>
        <v/>
      </c>
    </row>
    <row r="96">
      <c r="A96" s="9" t="inlineStr">
        <is>
          <t>RC (Replacement Cost)</t>
        </is>
      </c>
      <c r="B96" s="51">
        <f>MAX($B$72-$B$73,$B$74+$B$75-$B$76,0)</f>
        <v/>
      </c>
    </row>
    <row r="97">
      <c r="A97" s="52" t="inlineStr">
        <is>
          <t>EAD = alpha x (RC + PFE)</t>
        </is>
      </c>
      <c r="B97" s="53">
        <f>Supervisory_Params!$B$17*($B$96+$B$95)</f>
        <v/>
      </c>
    </row>
    <row r="99">
      <c r="A99" s="1" t="inlineStr">
        <is>
          <t>SCENARIO 4: Netting Set B (BANK-001) - HYPOTHETICAL: Same trades, if unmargined</t>
        </is>
      </c>
    </row>
    <row r="100">
      <c r="A100" s="17" t="inlineStr">
        <is>
          <t>V - net MTM of netting set</t>
        </is>
      </c>
      <c r="B100" s="43">
        <f>SUMIF(Calc_Engine!$B$4:$B$21,"NS-B",Trade_Inputs!$N$4:$N$21)</f>
        <v/>
      </c>
    </row>
    <row r="101">
      <c r="A101" s="9" t="inlineStr">
        <is>
          <t>C - haircut value of net collateral held</t>
        </is>
      </c>
      <c r="B101" s="44" t="n">
        <v>0</v>
      </c>
    </row>
    <row r="102">
      <c r="A102" s="9" t="inlineStr">
        <is>
          <t>TH - threshold  (n/a, unmargined)</t>
        </is>
      </c>
      <c r="B102" s="44" t="n">
        <v>0</v>
      </c>
    </row>
    <row r="103">
      <c r="A103" s="9" t="inlineStr">
        <is>
          <t>MTA - minimum transfer amount  (n/a, unmargined)</t>
        </is>
      </c>
      <c r="B103" s="44" t="n">
        <v>0</v>
      </c>
    </row>
    <row r="104">
      <c r="A104" s="9" t="inlineStr">
        <is>
          <t>NICA - net independent collateral amount</t>
        </is>
      </c>
      <c r="B104" s="44" t="n">
        <v>0</v>
      </c>
    </row>
    <row r="105">
      <c r="A105" s="45" t="inlineStr">
        <is>
          <t>IR AddOn (3 maturity buckets, cross-bucket correlation)</t>
        </is>
      </c>
      <c r="B105" s="46" t="n"/>
      <c r="C105" s="46" t="n"/>
      <c r="D105" s="46" t="n"/>
      <c r="E105" s="46" t="n"/>
      <c r="F105" s="46" t="n"/>
      <c r="G105" s="46" t="n"/>
    </row>
    <row r="106">
      <c r="A106" s="7" t="inlineStr">
        <is>
          <t>Currency</t>
        </is>
      </c>
      <c r="B106" s="7" t="inlineStr">
        <is>
          <t>Bucket1 (&lt;1y)</t>
        </is>
      </c>
      <c r="C106" s="7" t="inlineStr">
        <is>
          <t>Bucket2 (1-5y)</t>
        </is>
      </c>
      <c r="D106" s="7" t="inlineStr">
        <is>
          <t>Bucket3 (&gt;5y)</t>
        </is>
      </c>
      <c r="E106" s="7" t="inlineStr">
        <is>
          <t>Eff. D (HS)</t>
        </is>
      </c>
      <c r="F106" s="7" t="inlineStr">
        <is>
          <t>AddOn</t>
        </is>
      </c>
    </row>
    <row r="107">
      <c r="A107" s="54" t="inlineStr">
        <is>
          <t>USD</t>
        </is>
      </c>
      <c r="B107" s="40">
        <f>SUMPRODUCT((Calc_Engine!$B$4:$B$21="NS-B")*(Calc_Engine!$C$4:$C$21="IR")*(Calc_Engine!$D$4:$D$21="USD")*(Calc_Engine!$H$4:$H$21&lt;1)*Calc_Engine!$O$4:$O$21)</f>
        <v/>
      </c>
      <c r="C107" s="40">
        <f>SUMPRODUCT((Calc_Engine!$B$4:$B$21="NS-B")*(Calc_Engine!$C$4:$C$21="IR")*(Calc_Engine!$D$4:$D$21="USD")*(Calc_Engine!$H$4:$H$21&gt;=1)*(Calc_Engine!$H$4:$H$21&lt;=5)*Calc_Engine!$O$4:$O$21)</f>
        <v/>
      </c>
      <c r="D107" s="40">
        <f>SUMPRODUCT((Calc_Engine!$B$4:$B$21="NS-B")*(Calc_Engine!$C$4:$C$21="IR")*(Calc_Engine!$D$4:$D$21="USD")*(Calc_Engine!$H$4:$H$21&gt;5)*Calc_Engine!$O$4:$O$21)</f>
        <v/>
      </c>
      <c r="E107" s="40">
        <f>SQRT(B107^2+C107^2+D107^2+1.4*B107*C107+1.4*C107*D107+0.6*B107*D107)</f>
        <v/>
      </c>
      <c r="F107" s="40">
        <f>INDEX(Supervisory_Params!$D$5:$D$13,MATCH("IR|NA",Supervisory_Params!$C$5:$C$13,0))*E107</f>
        <v/>
      </c>
    </row>
    <row r="108">
      <c r="A108" s="17" t="inlineStr">
        <is>
          <t xml:space="preserve">  AddOn (IR total, all currencies)</t>
        </is>
      </c>
      <c r="B108" s="43">
        <f>$F$107</f>
        <v/>
      </c>
    </row>
    <row r="109">
      <c r="A109" s="45" t="inlineStr">
        <is>
          <t>FX AddOn (sum by currency pair hedging set)</t>
        </is>
      </c>
      <c r="B109" s="46" t="n"/>
      <c r="C109" s="46" t="n"/>
      <c r="D109" s="46" t="n"/>
      <c r="E109" s="46" t="n"/>
      <c r="F109" s="46" t="n"/>
      <c r="G109" s="46" t="n"/>
    </row>
    <row r="110">
      <c r="A110" s="54" t="inlineStr">
        <is>
          <t xml:space="preserve">  AddOn (EURUSD)</t>
        </is>
      </c>
      <c r="B110" s="40">
        <f>ABS(SUMPRODUCT((Calc_Engine!$B$4:$B$21="NS-B")*(Calc_Engine!$C$4:$C$21="FX")*(Calc_Engine!$D$4:$D$21="EURUSD")*Calc_Engine!$O$4:$O$21))*INDEX(Supervisory_Params!$D$5:$D$13,MATCH("FX|NA",Supervisory_Params!$C$5:$C$13,0))</f>
        <v/>
      </c>
    </row>
    <row r="111">
      <c r="A111" s="54" t="inlineStr">
        <is>
          <t xml:space="preserve">  AddOn (USDJPY)</t>
        </is>
      </c>
      <c r="B111" s="40">
        <f>ABS(SUMPRODUCT((Calc_Engine!$B$4:$B$21="NS-B")*(Calc_Engine!$C$4:$C$21="FX")*(Calc_Engine!$D$4:$D$21="USDJPY")*Calc_Engine!$O$4:$O$21))*INDEX(Supervisory_Params!$D$5:$D$13,MATCH("FX|NA",Supervisory_Params!$C$5:$C$13,0))</f>
        <v/>
      </c>
    </row>
    <row r="112">
      <c r="A112" s="17" t="inlineStr">
        <is>
          <t xml:space="preserve">  AddOn (FX total, all pairs)</t>
        </is>
      </c>
      <c r="B112" s="43">
        <f>$B$110+$B$111</f>
        <v/>
      </c>
    </row>
    <row r="113">
      <c r="A113" s="45" t="inlineStr">
        <is>
          <t>Credit</t>
        </is>
      </c>
      <c r="B113" s="46" t="n"/>
      <c r="C113" s="46" t="n"/>
      <c r="D113" s="46" t="n"/>
      <c r="E113" s="46" t="n"/>
      <c r="F113" s="46" t="n"/>
      <c r="G113" s="46" t="n"/>
    </row>
    <row r="114">
      <c r="A114" s="9" t="inlineStr">
        <is>
          <t xml:space="preserve">  Sum(rho x SF x EffNotional)</t>
        </is>
      </c>
      <c r="B114" s="40">
        <f>SUMPRODUCT((Calc_Engine!$B$4:$B$21="NS-B")*(Calc_Engine!$C$4:$C$21="Credit")*Calc_Engine!$R$4:$R$21*Calc_Engine!$Q$4:$Q$21*Calc_Engine!$O$4:$O$21)</f>
        <v/>
      </c>
    </row>
    <row r="115">
      <c r="A115" s="9" t="inlineStr">
        <is>
          <t xml:space="preserve">  Sum((1-rho^2) x (SF x EffNotional)^2)</t>
        </is>
      </c>
      <c r="B115" s="40">
        <f>SUMPRODUCT((Calc_Engine!$B$4:$B$21="NS-B")*(Calc_Engine!$C$4:$C$21="Credit")*(1-Calc_Engine!$R$4:$R$21^2)*(Calc_Engine!$Q$4:$Q$21*Calc_Engine!$O$4:$O$21)^2)</f>
        <v/>
      </c>
    </row>
    <row r="116">
      <c r="A116" s="17" t="inlineStr">
        <is>
          <t xml:space="preserve">  AddOn (Credit)</t>
        </is>
      </c>
      <c r="B116" s="55">
        <f>SQRT($B$114^2+$B$115)</f>
        <v/>
      </c>
    </row>
    <row r="117">
      <c r="A117" s="45" t="inlineStr">
        <is>
          <t>Equity</t>
        </is>
      </c>
      <c r="B117" s="46" t="n"/>
      <c r="C117" s="46" t="n"/>
      <c r="D117" s="46" t="n"/>
      <c r="E117" s="46" t="n"/>
      <c r="F117" s="46" t="n"/>
      <c r="G117" s="46" t="n"/>
    </row>
    <row r="118">
      <c r="A118" s="9" t="inlineStr">
        <is>
          <t xml:space="preserve">  Sum(rho x SF x EffNotional)</t>
        </is>
      </c>
      <c r="B118" s="40">
        <f>SUMPRODUCT((Calc_Engine!$B$4:$B$21="NS-B")*(Calc_Engine!$C$4:$C$21="Equity")*Calc_Engine!$R$4:$R$21*Calc_Engine!$Q$4:$Q$21*Calc_Engine!$O$4:$O$21)</f>
        <v/>
      </c>
    </row>
    <row r="119">
      <c r="A119" s="9" t="inlineStr">
        <is>
          <t xml:space="preserve">  Sum((1-rho^2) x (SF x EffNotional)^2)</t>
        </is>
      </c>
      <c r="B119" s="40">
        <f>SUMPRODUCT((Calc_Engine!$B$4:$B$21="NS-B")*(Calc_Engine!$C$4:$C$21="Equity")*(1-Calc_Engine!$R$4:$R$21^2)*(Calc_Engine!$Q$4:$Q$21*Calc_Engine!$O$4:$O$21)^2)</f>
        <v/>
      </c>
    </row>
    <row r="120">
      <c r="A120" s="17" t="inlineStr">
        <is>
          <t xml:space="preserve">  AddOn (Equity)</t>
        </is>
      </c>
      <c r="B120" s="55">
        <f>SQRT($B$118^2+$B$119)</f>
        <v/>
      </c>
    </row>
    <row r="121">
      <c r="A121" s="49" t="inlineStr">
        <is>
          <t>AddOn aggregate (all asset classes)</t>
        </is>
      </c>
      <c r="B121" s="50">
        <f>$B$108+$B$112+$B$116+$B$120+0</f>
        <v/>
      </c>
    </row>
    <row r="122">
      <c r="A122" s="9" t="inlineStr">
        <is>
          <t>Multiplier</t>
        </is>
      </c>
      <c r="B122" s="18">
        <f>IF($B$121=0,1,MIN(1,Supervisory_Params!$B$18+(1-Supervisory_Params!$B$18)*EXP(($B$100-$B$101)/(2*(1-Supervisory_Params!$B$18)*$B$121))))</f>
        <v/>
      </c>
    </row>
    <row r="123">
      <c r="A123" s="9" t="inlineStr">
        <is>
          <t>PFE</t>
        </is>
      </c>
      <c r="B123" s="51">
        <f>$B$122*$B$121</f>
        <v/>
      </c>
    </row>
    <row r="124">
      <c r="A124" s="9" t="inlineStr">
        <is>
          <t>RC (Replacement Cost)</t>
        </is>
      </c>
      <c r="B124" s="51">
        <f>MAX($B$100-$B$101,0)</f>
        <v/>
      </c>
    </row>
    <row r="125">
      <c r="A125" s="52" t="inlineStr">
        <is>
          <t>EAD = alpha x (RC + PFE)</t>
        </is>
      </c>
      <c r="B125" s="53">
        <f>Supervisory_Params!$B$17*($B$124+$B$123)</f>
        <v/>
      </c>
    </row>
  </sheetData>
  <mergeCells count="5">
    <mergeCell ref="A1:G1"/>
    <mergeCell ref="A3:G3"/>
    <mergeCell ref="A71:G71"/>
    <mergeCell ref="A99:G99"/>
    <mergeCell ref="A37:G37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tabSelected="1" zoomScaleNormal="100" workbookViewId="0">
      <selection activeCell="A1" sqref="A1:E1"/>
    </sheetView>
  </sheetViews>
  <sheetFormatPr baseColWidth="8" defaultColWidth="8.6328125" defaultRowHeight="14.5"/>
  <cols>
    <col width="34" customWidth="1" min="1" max="1"/>
    <col width="22" customWidth="1" min="2" max="2"/>
    <col width="20" customWidth="1" min="3" max="5"/>
  </cols>
  <sheetData>
    <row r="1" ht="21.75" customHeight="1">
      <c r="A1" s="2" t="inlineStr">
        <is>
          <t>Summary - EAD Comparison</t>
        </is>
      </c>
    </row>
    <row r="3">
      <c r="A3" s="7" t="inlineStr">
        <is>
          <t>Netting Set</t>
        </is>
      </c>
      <c r="B3" s="7" t="inlineStr">
        <is>
          <t>Margin Status</t>
        </is>
      </c>
      <c r="C3" s="7" t="inlineStr">
        <is>
          <t>RC ($)</t>
        </is>
      </c>
      <c r="D3" s="7" t="inlineStr">
        <is>
          <t>PFE ($)</t>
        </is>
      </c>
      <c r="E3" s="7" t="inlineStr">
        <is>
          <t>EAD ($)</t>
        </is>
      </c>
    </row>
    <row r="4">
      <c r="A4" s="56" t="inlineStr">
        <is>
          <t>Netting Set A (CORP-001)</t>
        </is>
      </c>
      <c r="B4" s="57" t="inlineStr">
        <is>
          <t>Actual - Unmargined</t>
        </is>
      </c>
      <c r="C4" s="34">
        <f>AddOn_Aggregation!$B$34</f>
        <v/>
      </c>
      <c r="D4" s="34">
        <f>AddOn_Aggregation!$B$33</f>
        <v/>
      </c>
      <c r="E4" s="58">
        <f>AddOn_Aggregation!$B$35</f>
        <v/>
      </c>
    </row>
    <row r="5">
      <c r="A5" s="56" t="inlineStr">
        <is>
          <t>Netting Set A (CORP-001)</t>
        </is>
      </c>
      <c r="B5" s="57" t="inlineStr">
        <is>
          <t>Hypothetical - Margined</t>
        </is>
      </c>
      <c r="C5" s="34">
        <f>AddOn_Aggregation!$B$68</f>
        <v/>
      </c>
      <c r="D5" s="34">
        <f>AddOn_Aggregation!$B$67</f>
        <v/>
      </c>
      <c r="E5" s="58">
        <f>AddOn_Aggregation!$B$69</f>
        <v/>
      </c>
    </row>
    <row r="6">
      <c r="A6" s="59" t="inlineStr">
        <is>
          <t>Netting Set B (BANK-001)</t>
        </is>
      </c>
      <c r="B6" s="60" t="inlineStr">
        <is>
          <t>Actual - Margined</t>
        </is>
      </c>
      <c r="C6" s="40">
        <f>AddOn_Aggregation!$B$96</f>
        <v/>
      </c>
      <c r="D6" s="40">
        <f>AddOn_Aggregation!$B$95</f>
        <v/>
      </c>
      <c r="E6" s="61">
        <f>AddOn_Aggregation!$B$97</f>
        <v/>
      </c>
    </row>
    <row r="7">
      <c r="A7" s="59" t="inlineStr">
        <is>
          <t>Netting Set B (BANK-001)</t>
        </is>
      </c>
      <c r="B7" s="60" t="inlineStr">
        <is>
          <t>Hypothetical - Unmargined</t>
        </is>
      </c>
      <c r="C7" s="40">
        <f>AddOn_Aggregation!$B$124</f>
        <v/>
      </c>
      <c r="D7" s="40">
        <f>AddOn_Aggregation!$B$123</f>
        <v/>
      </c>
      <c r="E7" s="61">
        <f>AddOn_Aggregation!$B$125</f>
        <v/>
      </c>
    </row>
    <row r="9">
      <c r="A9" s="49" t="inlineStr">
        <is>
          <t>Margining impact - Netting Set A</t>
        </is>
      </c>
      <c r="B9" s="62" t="n"/>
      <c r="C9" s="62" t="n"/>
      <c r="D9" s="62" t="n"/>
      <c r="E9" s="50">
        <f>E5-E4</f>
        <v/>
      </c>
    </row>
    <row r="10">
      <c r="A10" s="49" t="inlineStr">
        <is>
          <t>Margining impact - Netting Set B</t>
        </is>
      </c>
      <c r="B10" s="62" t="n"/>
      <c r="C10" s="62" t="n"/>
      <c r="D10" s="62" t="n"/>
      <c r="E10" s="50">
        <f>E7-E6</f>
        <v/>
      </c>
    </row>
  </sheetData>
  <mergeCells count="1"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22" customWidth="1" min="3" max="3"/>
    <col width="10" customWidth="1" min="4" max="4"/>
    <col width="30" customWidth="1" min="5" max="5"/>
  </cols>
  <sheetData>
    <row r="1" ht="22" customHeight="1">
      <c r="A1" s="65" t="inlineStr">
        <is>
          <t>BA-CVA Supervisory Parameters (Reduced BA-CVA, editable blue cells)</t>
        </is>
      </c>
      <c r="B1" s="66" t="n"/>
      <c r="C1" s="66" t="n"/>
      <c r="D1" s="66" t="n"/>
      <c r="E1" s="66" t="n"/>
      <c r="F1" s="66" t="n"/>
    </row>
    <row r="3">
      <c r="A3" s="63" t="inlineStr">
        <is>
          <t>Regulatory Constants</t>
        </is>
      </c>
    </row>
    <row r="4">
      <c r="A4" s="67" t="inlineStr">
        <is>
          <t>Parameter</t>
        </is>
      </c>
      <c r="B4" s="67" t="inlineStr">
        <is>
          <t>Value</t>
        </is>
      </c>
      <c r="C4" s="67" t="inlineStr">
        <is>
          <t>Note</t>
        </is>
      </c>
    </row>
    <row r="5">
      <c r="A5" s="64" t="inlineStr">
        <is>
          <t>Alpha (same supervisory constant as SA-CCR EAD)</t>
        </is>
      </c>
      <c r="B5" s="68" t="n">
        <v>1.4</v>
      </c>
      <c r="C5" s="69" t="inlineStr"/>
    </row>
    <row r="6">
      <c r="A6" s="64" t="inlineStr">
        <is>
          <t>Rho (correlation between counterparties)</t>
        </is>
      </c>
      <c r="B6" s="68" t="n">
        <v>0.5</v>
      </c>
      <c r="C6" s="69" t="inlineStr"/>
    </row>
    <row r="7">
      <c r="A7" s="64" t="inlineStr">
        <is>
          <t>Discount scalar DS_BA-CVA</t>
        </is>
      </c>
      <c r="B7" s="68" t="n">
        <v>0.65</v>
      </c>
      <c r="C7" s="69" t="inlineStr"/>
    </row>
    <row r="9">
      <c r="A9" s="63" t="inlineStr">
        <is>
          <t>Risk Weights (RW) by sector x credit quality</t>
        </is>
      </c>
    </row>
    <row r="10">
      <c r="A10" s="67" t="inlineStr">
        <is>
          <t>Sector</t>
        </is>
      </c>
      <c r="B10" s="67" t="inlineStr">
        <is>
          <t>Credit Quality</t>
        </is>
      </c>
      <c r="C10" s="67" t="inlineStr">
        <is>
          <t>Key</t>
        </is>
      </c>
      <c r="D10" s="67" t="inlineStr">
        <is>
          <t>RW</t>
        </is>
      </c>
      <c r="E10" s="67" t="inlineStr">
        <is>
          <t>Note</t>
        </is>
      </c>
    </row>
    <row r="11">
      <c r="A11" s="64" t="inlineStr">
        <is>
          <t>Sovereigns_CentralBanks</t>
        </is>
      </c>
      <c r="B11" s="64" t="inlineStr">
        <is>
          <t>IG</t>
        </is>
      </c>
      <c r="C11" s="64">
        <f>A11&amp;"|"&amp;B11</f>
        <v/>
      </c>
      <c r="D11" s="70" t="n">
        <v>0.005</v>
      </c>
    </row>
    <row r="12">
      <c r="A12" s="64" t="inlineStr">
        <is>
          <t>Sovereigns_CentralBanks</t>
        </is>
      </c>
      <c r="B12" s="64" t="inlineStr">
        <is>
          <t>HY_NR</t>
        </is>
      </c>
      <c r="C12" s="64">
        <f>A12&amp;"|"&amp;B12</f>
        <v/>
      </c>
      <c r="D12" s="70" t="n">
        <v>0.02</v>
      </c>
    </row>
    <row r="13">
      <c r="A13" s="64" t="inlineStr">
        <is>
          <t>LocalGovernment_Education</t>
        </is>
      </c>
      <c r="B13" s="64" t="inlineStr">
        <is>
          <t>IG</t>
        </is>
      </c>
      <c r="C13" s="64">
        <f>A13&amp;"|"&amp;B13</f>
        <v/>
      </c>
      <c r="D13" s="70" t="n">
        <v>0.01</v>
      </c>
    </row>
    <row r="14">
      <c r="A14" s="64" t="inlineStr">
        <is>
          <t>LocalGovernment_Education</t>
        </is>
      </c>
      <c r="B14" s="64" t="inlineStr">
        <is>
          <t>HY_NR</t>
        </is>
      </c>
      <c r="C14" s="64">
        <f>A14&amp;"|"&amp;B14</f>
        <v/>
      </c>
      <c r="D14" s="70" t="n">
        <v>0.04</v>
      </c>
    </row>
    <row r="15">
      <c r="A15" s="64" t="inlineStr">
        <is>
          <t>Financials</t>
        </is>
      </c>
      <c r="B15" s="64" t="inlineStr">
        <is>
          <t>IG</t>
        </is>
      </c>
      <c r="C15" s="64">
        <f>A15&amp;"|"&amp;B15</f>
        <v/>
      </c>
      <c r="D15" s="70" t="n">
        <v>0.05</v>
      </c>
    </row>
    <row r="16">
      <c r="A16" s="64" t="inlineStr">
        <is>
          <t>Financials</t>
        </is>
      </c>
      <c r="B16" s="64" t="inlineStr">
        <is>
          <t>HY_NR</t>
        </is>
      </c>
      <c r="C16" s="64">
        <f>A16&amp;"|"&amp;B16</f>
        <v/>
      </c>
      <c r="D16" s="70" t="n">
        <v>0.12</v>
      </c>
    </row>
    <row r="17">
      <c r="A17" s="64" t="inlineStr">
        <is>
          <t>BasicMaterials_Energy_Industrials</t>
        </is>
      </c>
      <c r="B17" s="64" t="inlineStr">
        <is>
          <t>IG</t>
        </is>
      </c>
      <c r="C17" s="64">
        <f>A17&amp;"|"&amp;B17</f>
        <v/>
      </c>
      <c r="D17" s="70" t="n">
        <v>0.03</v>
      </c>
    </row>
    <row r="18">
      <c r="A18" s="64" t="inlineStr">
        <is>
          <t>BasicMaterials_Energy_Industrials</t>
        </is>
      </c>
      <c r="B18" s="64" t="inlineStr">
        <is>
          <t>HY_NR</t>
        </is>
      </c>
      <c r="C18" s="64">
        <f>A18&amp;"|"&amp;B18</f>
        <v/>
      </c>
      <c r="D18" s="70" t="n">
        <v>0.07000000000000001</v>
      </c>
    </row>
    <row r="19">
      <c r="A19" s="64" t="inlineStr">
        <is>
          <t>ConsumerGoods_Transportation</t>
        </is>
      </c>
      <c r="B19" s="64" t="inlineStr">
        <is>
          <t>IG</t>
        </is>
      </c>
      <c r="C19" s="64">
        <f>A19&amp;"|"&amp;B19</f>
        <v/>
      </c>
      <c r="D19" s="70" t="n">
        <v>0.03</v>
      </c>
    </row>
    <row r="20">
      <c r="A20" s="64" t="inlineStr">
        <is>
          <t>ConsumerGoods_Transportation</t>
        </is>
      </c>
      <c r="B20" s="64" t="inlineStr">
        <is>
          <t>HY_NR</t>
        </is>
      </c>
      <c r="C20" s="64">
        <f>A20&amp;"|"&amp;B20</f>
        <v/>
      </c>
      <c r="D20" s="70" t="n">
        <v>0.08500000000000001</v>
      </c>
    </row>
    <row r="21">
      <c r="A21" s="64" t="inlineStr">
        <is>
          <t>Technology_Telecom</t>
        </is>
      </c>
      <c r="B21" s="64" t="inlineStr">
        <is>
          <t>IG</t>
        </is>
      </c>
      <c r="C21" s="64">
        <f>A21&amp;"|"&amp;B21</f>
        <v/>
      </c>
      <c r="D21" s="70" t="n">
        <v>0.02</v>
      </c>
    </row>
    <row r="22">
      <c r="A22" s="64" t="inlineStr">
        <is>
          <t>Technology_Telecom</t>
        </is>
      </c>
      <c r="B22" s="64" t="inlineStr">
        <is>
          <t>HY_NR</t>
        </is>
      </c>
      <c r="C22" s="64">
        <f>A22&amp;"|"&amp;B22</f>
        <v/>
      </c>
      <c r="D22" s="70" t="n">
        <v>0.055</v>
      </c>
    </row>
    <row r="23">
      <c r="A23" s="64" t="inlineStr">
        <is>
          <t>Healthcare_Utilities</t>
        </is>
      </c>
      <c r="B23" s="64" t="inlineStr">
        <is>
          <t>IG</t>
        </is>
      </c>
      <c r="C23" s="64">
        <f>A23&amp;"|"&amp;B23</f>
        <v/>
      </c>
      <c r="D23" s="70" t="n">
        <v>0.015</v>
      </c>
    </row>
    <row r="24">
      <c r="A24" s="64" t="inlineStr">
        <is>
          <t>Healthcare_Utilities</t>
        </is>
      </c>
      <c r="B24" s="64" t="inlineStr">
        <is>
          <t>HY_NR</t>
        </is>
      </c>
      <c r="C24" s="64">
        <f>A24&amp;"|"&amp;B24</f>
        <v/>
      </c>
      <c r="D24" s="70" t="n">
        <v>0.05</v>
      </c>
    </row>
    <row r="25">
      <c r="A25" s="64" t="inlineStr">
        <is>
          <t>Other</t>
        </is>
      </c>
      <c r="B25" s="64" t="inlineStr">
        <is>
          <t>IG</t>
        </is>
      </c>
      <c r="C25" s="64">
        <f>A25&amp;"|"&amp;B25</f>
        <v/>
      </c>
      <c r="D25" s="70" t="n">
        <v>0.05</v>
      </c>
    </row>
    <row r="26">
      <c r="A26" s="64" t="inlineStr">
        <is>
          <t>Other</t>
        </is>
      </c>
      <c r="B26" s="64" t="inlineStr">
        <is>
          <t>HY_NR</t>
        </is>
      </c>
      <c r="C26" s="64">
        <f>A26&amp;"|"&amp;B26</f>
        <v/>
      </c>
      <c r="D26" s="70" t="n">
        <v>0.12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14" customWidth="1" min="4" max="4"/>
  </cols>
  <sheetData>
    <row r="1" ht="22" customHeight="1">
      <c r="A1" s="65" t="inlineStr">
        <is>
          <t>BA-CVA Counterparty Assignment (illustrative, editable blue cells)</t>
        </is>
      </c>
      <c r="B1" s="66" t="n"/>
      <c r="C1" s="66" t="n"/>
      <c r="D1" s="66" t="n"/>
      <c r="E1" s="66" t="n"/>
      <c r="F1" s="66" t="n"/>
    </row>
    <row r="3">
      <c r="A3" s="69" t="inlineStr">
        <is>
          <t>Not part of the original SA-CCR sample data (trade-level notional/maturity/MTM only). Sector and credit quality assigned here for BA-CVA risk-weight lookup; illustrative, same as the rest of the sample portfolio's notionals, MTMs, and CSA terms.</t>
        </is>
      </c>
    </row>
    <row r="5">
      <c r="A5" s="67" t="inlineStr">
        <is>
          <t>Netting Set</t>
        </is>
      </c>
      <c r="B5" s="67" t="inlineStr">
        <is>
          <t>Counterparty</t>
        </is>
      </c>
      <c r="C5" s="67" t="inlineStr">
        <is>
          <t>Sector</t>
        </is>
      </c>
      <c r="D5" s="67" t="inlineStr">
        <is>
          <t>Credit Quality</t>
        </is>
      </c>
    </row>
    <row r="6">
      <c r="A6" s="68" t="inlineStr">
        <is>
          <t>NS-A</t>
        </is>
      </c>
      <c r="B6" s="68" t="inlineStr">
        <is>
          <t>CORP-001</t>
        </is>
      </c>
      <c r="C6" s="68" t="inlineStr">
        <is>
          <t>BasicMaterials_Energy_Industrials</t>
        </is>
      </c>
      <c r="D6" s="68" t="inlineStr">
        <is>
          <t>IG</t>
        </is>
      </c>
    </row>
    <row r="7">
      <c r="A7" s="68" t="inlineStr">
        <is>
          <t>NS-B</t>
        </is>
      </c>
      <c r="B7" s="68" t="inlineStr">
        <is>
          <t>BANK-001</t>
        </is>
      </c>
      <c r="C7" s="68" t="inlineStr">
        <is>
          <t>Financials</t>
        </is>
      </c>
      <c r="D7" s="68" t="inlineStr">
        <is>
          <t>IG</t>
        </is>
      </c>
    </row>
  </sheetData>
  <mergeCells count="1">
    <mergeCell ref="A3:F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4" customWidth="1" min="4" max="4"/>
    <col width="16" customWidth="1" min="5" max="5"/>
    <col width="18" customWidth="1" min="6" max="6"/>
    <col width="10" customWidth="1" min="7" max="7"/>
    <col width="10" customWidth="1" min="8" max="8"/>
    <col width="16" customWidth="1" min="9" max="9"/>
  </cols>
  <sheetData>
    <row r="1" ht="22" customHeight="1">
      <c r="A1" s="65" t="inlineStr">
        <is>
          <t>BA-CVA Per-Counterparty SCVA (green = link to other sheets, black = formula)</t>
        </is>
      </c>
      <c r="B1" s="66" t="n"/>
      <c r="C1" s="66" t="n"/>
      <c r="D1" s="66" t="n"/>
      <c r="E1" s="66" t="n"/>
      <c r="F1" s="66" t="n"/>
    </row>
    <row r="3">
      <c r="A3" s="67" t="inlineStr">
        <is>
          <t>Netting Set</t>
        </is>
      </c>
      <c r="B3" s="67" t="inlineStr">
        <is>
          <t>Counterparty</t>
        </is>
      </c>
      <c r="C3" s="67" t="inlineStr">
        <is>
          <t>Sector</t>
        </is>
      </c>
      <c r="D3" s="67" t="inlineStr">
        <is>
          <t>Credit Quality</t>
        </is>
      </c>
      <c r="E3" s="67" t="inlineStr">
        <is>
          <t>EAD_NS ($)</t>
        </is>
      </c>
      <c r="F3" s="67" t="inlineStr">
        <is>
          <t>M_NS (yrs, notional-wtd avg)</t>
        </is>
      </c>
      <c r="G3" s="67" t="inlineStr">
        <is>
          <t>DF_NS</t>
        </is>
      </c>
      <c r="H3" s="67" t="inlineStr">
        <is>
          <t>RW_c</t>
        </is>
      </c>
      <c r="I3" s="67" t="inlineStr">
        <is>
          <t>SCVA_c ($)</t>
        </is>
      </c>
    </row>
    <row r="4">
      <c r="A4" s="64">
        <f>BACVA_Counterparties!A6</f>
        <v/>
      </c>
      <c r="B4" s="64">
        <f>BACVA_Counterparties!B6</f>
        <v/>
      </c>
      <c r="C4" s="64">
        <f>BACVA_Counterparties!C6</f>
        <v/>
      </c>
      <c r="D4" s="64">
        <f>BACVA_Counterparties!D6</f>
        <v/>
      </c>
      <c r="E4" s="71">
        <f>IF(BACVA_Counterparties!A6="NS-A",Summary!$E$4,Summary!$E$6)</f>
        <v/>
      </c>
      <c r="F4" s="72">
        <f>SUMPRODUCT((Trade_Inputs!$B$4:$B$21=BACVA_Counterparties!A6)*Trade_Inputs!$H$4:$H$21*Trade_Inputs!$J$4:$J$21)/SUMIF(Trade_Inputs!$B$4:$B$21,BACVA_Counterparties!A6,Trade_Inputs!$H$4:$H$21)</f>
        <v/>
      </c>
      <c r="G4" s="73">
        <f>(1-EXP(-0.05*F4))/(0.05*F4)</f>
        <v/>
      </c>
      <c r="H4" s="74">
        <f>INDEX(BACVA_Params!$D$11:$D$26,MATCH(C4&amp;"|"&amp;D4,BACVA_Params!$C$11:$C$26,0))</f>
        <v/>
      </c>
      <c r="I4" s="71">
        <f>(1/BACVA_Params!$B$5)*H4*(F4*E4*G4)</f>
        <v/>
      </c>
    </row>
    <row r="5">
      <c r="A5" s="64">
        <f>BACVA_Counterparties!A7</f>
        <v/>
      </c>
      <c r="B5" s="64">
        <f>BACVA_Counterparties!B7</f>
        <v/>
      </c>
      <c r="C5" s="64">
        <f>BACVA_Counterparties!C7</f>
        <v/>
      </c>
      <c r="D5" s="64">
        <f>BACVA_Counterparties!D7</f>
        <v/>
      </c>
      <c r="E5" s="71">
        <f>IF(BACVA_Counterparties!A7="NS-A",Summary!$E$4,Summary!$E$6)</f>
        <v/>
      </c>
      <c r="F5" s="72">
        <f>SUMPRODUCT((Trade_Inputs!$B$4:$B$21=BACVA_Counterparties!A7)*Trade_Inputs!$H$4:$H$21*Trade_Inputs!$J$4:$J$21)/SUMIF(Trade_Inputs!$B$4:$B$21,BACVA_Counterparties!A7,Trade_Inputs!$H$4:$H$21)</f>
        <v/>
      </c>
      <c r="G5" s="73">
        <f>(1-EXP(-0.05*F5))/(0.05*F5)</f>
        <v/>
      </c>
      <c r="H5" s="74">
        <f>INDEX(BACVA_Params!$D$11:$D$26,MATCH(C5&amp;"|"&amp;D5,BACVA_Params!$C$11:$C$26,0))</f>
        <v/>
      </c>
      <c r="I5" s="71">
        <f>(1/BACVA_Params!$B$5)*H5*(F5*E5*G5)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 ht="22" customHeight="1">
      <c r="A1" s="65" t="inlineStr">
        <is>
          <t>BA-CVA Capital Charge Summary</t>
        </is>
      </c>
      <c r="B1" s="66" t="n"/>
      <c r="C1" s="66" t="n"/>
      <c r="D1" s="66" t="n"/>
      <c r="E1" s="66" t="n"/>
      <c r="F1" s="66" t="n"/>
    </row>
    <row r="3">
      <c r="A3" s="63" t="inlineStr">
        <is>
          <t>SCVA by counterparty</t>
        </is>
      </c>
    </row>
    <row r="4">
      <c r="A4" s="67" t="inlineStr">
        <is>
          <t>Counterparty</t>
        </is>
      </c>
      <c r="B4" s="67" t="inlineStr">
        <is>
          <t>SCVA ($)</t>
        </is>
      </c>
    </row>
    <row r="5">
      <c r="A5" s="64">
        <f>BACVA_Calc!B4</f>
        <v/>
      </c>
      <c r="B5" s="71">
        <f>BACVA_Calc!I4</f>
        <v/>
      </c>
    </row>
    <row r="6">
      <c r="A6" s="64">
        <f>BACVA_Calc!B5</f>
        <v/>
      </c>
      <c r="B6" s="71">
        <f>BACVA_Calc!I5</f>
        <v/>
      </c>
    </row>
    <row r="8">
      <c r="A8" s="63" t="inlineStr">
        <is>
          <t>Sum(SCVA_c)</t>
        </is>
      </c>
      <c r="B8" s="71">
        <f>SUM(B5:B6)</f>
        <v/>
      </c>
    </row>
    <row r="9">
      <c r="A9" s="63" t="inlineStr">
        <is>
          <t>Sum(SCVA_c^2)</t>
        </is>
      </c>
      <c r="B9" s="71">
        <f>SUMSQ(B5:B6)</f>
        <v/>
      </c>
    </row>
    <row r="10">
      <c r="A10" s="63" t="inlineStr">
        <is>
          <t>K_reduced</t>
        </is>
      </c>
      <c r="B10" s="71">
        <f>SQRT((BACVA_Params!$B$6*B8)^2+(1-BACVA_Params!$B$6^2)*B9)</f>
        <v/>
      </c>
    </row>
    <row r="11">
      <c r="A11" s="63" t="inlineStr">
        <is>
          <t>BA-CVA capital charge (DS x K_reduced)</t>
        </is>
      </c>
      <c r="B11" s="75">
        <f>BACVA_Params!$B$7*B10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2026-08-03T01:31:11Z</dcterms:created>
  <dcterms:modified xmlns:dcterms="http://purl.org/dc/terms/" xmlns:xsi="http://www.w3.org/2001/XMLSchema-instance" xsi:type="dcterms:W3CDTF">2026-08-21T12:53:27Z</dcterms:modified>
  <cp:lastModifiedBy>Yazad Madan</cp:lastModifiedBy>
  <cp:revision>0</cp:revision>
</cp:coreProperties>
</file>